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hm/Downloads/"/>
    </mc:Choice>
  </mc:AlternateContent>
  <xr:revisionPtr revIDLastSave="0" documentId="13_ncr:1_{AE4216D7-F74A-8C46-9BA3-B040864D6DFF}" xr6:coauthVersionLast="47" xr6:coauthVersionMax="47" xr10:uidLastSave="{00000000-0000-0000-0000-000000000000}"/>
  <bookViews>
    <workbookView xWindow="780" yWindow="1000" windowWidth="27640" windowHeight="15640" xr2:uid="{F2BE595B-EA05-E54A-A068-CCF34416ADE3}"/>
  </bookViews>
  <sheets>
    <sheet name="Sheet1" sheetId="1" r:id="rId1"/>
  </sheets>
  <externalReferences>
    <externalReference r:id="rId2"/>
  </externalReferences>
  <definedNames>
    <definedName name="upahbahan">'[1]Upah Bahan Alat'!$F$9:$H$2845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3" i="1" l="1"/>
  <c r="G9" i="1" l="1"/>
  <c r="G19" i="1"/>
  <c r="G22" i="1" s="1"/>
  <c r="G23" i="1" l="1"/>
  <c r="G24" i="1" s="1"/>
  <c r="H1" i="1" s="1"/>
</calcChain>
</file>

<file path=xl/sharedStrings.xml><?xml version="1.0" encoding="utf-8"?>
<sst xmlns="http://schemas.openxmlformats.org/spreadsheetml/2006/main" count="22" uniqueCount="22">
  <si>
    <t>No</t>
  </si>
  <si>
    <t>Uraian</t>
  </si>
  <si>
    <t>Kode</t>
  </si>
  <si>
    <t>Sat.</t>
  </si>
  <si>
    <t>Koefisien</t>
  </si>
  <si>
    <t>Harga  Satuan (Rp)</t>
  </si>
  <si>
    <t>Jumlah Harga (Rp)</t>
  </si>
  <si>
    <t>A</t>
  </si>
  <si>
    <t>TENAGA KERJA</t>
  </si>
  <si>
    <t>JUMLAH HARGA TENAGA KERJA</t>
  </si>
  <si>
    <t>B</t>
  </si>
  <si>
    <t>BAHAN</t>
  </si>
  <si>
    <t>JUMLAH HARGA BAHAN</t>
  </si>
  <si>
    <t>C</t>
  </si>
  <si>
    <t>PERALATAN</t>
  </si>
  <si>
    <t>JUMLAH HARGA ALAT</t>
  </si>
  <si>
    <t>D</t>
  </si>
  <si>
    <t>Jumlah (A+B+C)</t>
  </si>
  <si>
    <t>E</t>
  </si>
  <si>
    <t>Biaya Umum dan Keuntungan 10%-15% x D</t>
  </si>
  <si>
    <t>F</t>
  </si>
  <si>
    <t>Harga Satuan Pekerjaan (D+E)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</si>
</sst>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2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9">
    <border>
      <left/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4" fontId="1" fillId="2" borderId="0" xfId="0" applyNumberFormat="1" applyFont="1" applyFill="1" applyAlignment="1">
      <alignment horizontal="left" vertical="center" wrapText="1"/>
    </xf>
    <xf numFmtId="4" fontId="2" fillId="2" borderId="0" xfId="0" applyNumberFormat="1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4" fontId="3" fillId="2" borderId="3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vertical="center"/>
    </xf>
    <xf numFmtId="4" fontId="4" fillId="2" borderId="6" xfId="0" applyNumberFormat="1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2" fontId="4" fillId="2" borderId="4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64" fontId="4" fillId="2" borderId="5" xfId="0" applyNumberFormat="1" applyFont="1" applyFill="1" applyBorder="1" applyAlignment="1">
      <alignment horizontal="right" vertical="center"/>
    </xf>
    <xf numFmtId="4" fontId="4" fillId="2" borderId="5" xfId="0" applyNumberFormat="1" applyFont="1" applyFill="1" applyBorder="1" applyAlignment="1">
      <alignment horizontal="right" vertical="center" shrinkToFit="1"/>
    </xf>
    <xf numFmtId="4" fontId="4" fillId="2" borderId="6" xfId="0" applyNumberFormat="1" applyFont="1" applyFill="1" applyBorder="1" applyAlignment="1">
      <alignment horizontal="right" vertical="center" shrinkToFit="1"/>
    </xf>
    <xf numFmtId="0" fontId="4" fillId="2" borderId="7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8" xfId="0" applyFont="1" applyBorder="1" applyAlignment="1">
      <alignment vertical="center"/>
    </xf>
    <xf numFmtId="4" fontId="4" fillId="2" borderId="9" xfId="0" applyNumberFormat="1" applyFont="1" applyFill="1" applyBorder="1" applyAlignment="1">
      <alignment vertical="center"/>
    </xf>
    <xf numFmtId="0" fontId="4" fillId="2" borderId="5" xfId="0" applyFont="1" applyFill="1" applyBorder="1" applyAlignment="1">
      <alignment horizontal="right" vertical="center"/>
    </xf>
    <xf numFmtId="4" fontId="4" fillId="2" borderId="5" xfId="0" applyNumberFormat="1" applyFont="1" applyFill="1" applyBorder="1" applyAlignment="1">
      <alignment vertical="center"/>
    </xf>
    <xf numFmtId="0" fontId="4" fillId="2" borderId="4" xfId="0" quotePrefix="1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165" fontId="4" fillId="2" borderId="5" xfId="0" applyNumberFormat="1" applyFont="1" applyFill="1" applyBorder="1" applyAlignment="1">
      <alignment horizontal="right" vertical="center"/>
    </xf>
    <xf numFmtId="4" fontId="3" fillId="2" borderId="6" xfId="0" applyNumberFormat="1" applyFont="1" applyFill="1" applyBorder="1" applyAlignment="1">
      <alignment horizontal="right" vertical="center" wrapText="1"/>
    </xf>
    <xf numFmtId="0" fontId="4" fillId="2" borderId="11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4" fontId="4" fillId="2" borderId="13" xfId="0" applyNumberFormat="1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9" fontId="4" fillId="2" borderId="5" xfId="0" applyNumberFormat="1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vertical="center"/>
    </xf>
    <xf numFmtId="0" fontId="4" fillId="2" borderId="16" xfId="0" applyFont="1" applyFill="1" applyBorder="1" applyAlignment="1">
      <alignment vertical="center"/>
    </xf>
    <xf numFmtId="4" fontId="4" fillId="2" borderId="17" xfId="0" applyNumberFormat="1" applyFont="1" applyFill="1" applyBorder="1" applyAlignment="1">
      <alignment vertical="center"/>
    </xf>
    <xf numFmtId="4" fontId="1" fillId="2" borderId="18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whm/Downloads/PUPR%20Bogor%202026%20-%20HSPK%20Bidang%20CK%20(SE%20Binkon%2030_2025)%20(4).xlsx" TargetMode="External"/><Relationship Id="rId1" Type="http://schemas.openxmlformats.org/officeDocument/2006/relationships/externalLinkPath" Target="PUPR%20Bogor%202026%20-%20HSPK%20Bidang%20CK%20(SE%20Binkon%2030_2025)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pah Bahan Alat"/>
      <sheetName val="DAFTAR AHSP"/>
      <sheetName val="1. PERSIAPAN"/>
      <sheetName val="2. STRUKTUR"/>
      <sheetName val="3. ARSITEKTUR"/>
      <sheetName val="4 LANDSEKAP"/>
      <sheetName val="5. MEK. &amp; ELEKT."/>
      <sheetName val="6. PLAMBING"/>
      <sheetName val="7. JALAN PERMUKIMAN"/>
      <sheetName val="8. DRAINASE"/>
      <sheetName val="9. PIPA Luar Gedung"/>
      <sheetName val="10. RISHA "/>
    </sheetNames>
    <sheetDataSet>
      <sheetData sheetId="0">
        <row r="9">
          <cell r="F9" t="str">
            <v>Pekerja</v>
          </cell>
          <cell r="G9" t="str">
            <v>OH</v>
          </cell>
          <cell r="H9">
            <v>195088</v>
          </cell>
        </row>
        <row r="10">
          <cell r="F10" t="str">
            <v>Tukang batu</v>
          </cell>
          <cell r="G10" t="str">
            <v>OH</v>
          </cell>
          <cell r="H10">
            <v>219818</v>
          </cell>
        </row>
        <row r="11">
          <cell r="F11" t="str">
            <v>Tukang kayu</v>
          </cell>
          <cell r="G11" t="str">
            <v>OH</v>
          </cell>
          <cell r="H11">
            <v>219818</v>
          </cell>
        </row>
        <row r="12">
          <cell r="F12" t="str">
            <v>Tukang besi</v>
          </cell>
          <cell r="G12" t="str">
            <v>OH</v>
          </cell>
          <cell r="H12">
            <v>219818</v>
          </cell>
        </row>
        <row r="13">
          <cell r="F13" t="str">
            <v>Tukang cat</v>
          </cell>
          <cell r="G13" t="str">
            <v>OH</v>
          </cell>
          <cell r="H13">
            <v>219818</v>
          </cell>
        </row>
        <row r="14">
          <cell r="F14" t="str">
            <v>Tukang pelitur</v>
          </cell>
          <cell r="G14" t="str">
            <v>OH</v>
          </cell>
          <cell r="H14">
            <v>219818</v>
          </cell>
        </row>
        <row r="15">
          <cell r="F15" t="str">
            <v>Tukang pipa</v>
          </cell>
          <cell r="G15" t="str">
            <v>OH</v>
          </cell>
          <cell r="H15">
            <v>219818</v>
          </cell>
        </row>
        <row r="16">
          <cell r="F16" t="str">
            <v>Tukang penganyam bronjong</v>
          </cell>
          <cell r="G16" t="str">
            <v>OH</v>
          </cell>
          <cell r="H16">
            <v>219818</v>
          </cell>
        </row>
        <row r="17">
          <cell r="F17" t="str">
            <v>Tukang tebas</v>
          </cell>
          <cell r="G17" t="str">
            <v>OH</v>
          </cell>
          <cell r="H17">
            <v>219818</v>
          </cell>
        </row>
        <row r="18">
          <cell r="F18" t="str">
            <v>Tukang las</v>
          </cell>
          <cell r="G18" t="str">
            <v>OH</v>
          </cell>
          <cell r="H18">
            <v>219818</v>
          </cell>
        </row>
        <row r="19">
          <cell r="F19" t="str">
            <v>Tukang las geotextile</v>
          </cell>
          <cell r="G19" t="str">
            <v>OH</v>
          </cell>
          <cell r="H19">
            <v>219818</v>
          </cell>
        </row>
        <row r="20">
          <cell r="F20" t="str">
            <v>Tukang listrik</v>
          </cell>
          <cell r="G20" t="str">
            <v>OH</v>
          </cell>
          <cell r="H20">
            <v>219818</v>
          </cell>
        </row>
        <row r="21">
          <cell r="F21" t="str">
            <v>Tukang alumunium</v>
          </cell>
          <cell r="G21" t="str">
            <v>OH</v>
          </cell>
          <cell r="H21">
            <v>219818</v>
          </cell>
        </row>
        <row r="22">
          <cell r="F22" t="str">
            <v>Tukang kaca</v>
          </cell>
          <cell r="G22" t="str">
            <v>OH</v>
          </cell>
          <cell r="H22">
            <v>219818</v>
          </cell>
        </row>
        <row r="23">
          <cell r="F23" t="str">
            <v>Tukang erection</v>
          </cell>
          <cell r="G23" t="str">
            <v>OH</v>
          </cell>
          <cell r="H23">
            <v>219818</v>
          </cell>
        </row>
        <row r="24">
          <cell r="F24" t="str">
            <v>Tukang tanam</v>
          </cell>
          <cell r="G24" t="str">
            <v>OH</v>
          </cell>
          <cell r="H24">
            <v>219818</v>
          </cell>
        </row>
        <row r="25">
          <cell r="F25" t="str">
            <v xml:space="preserve">Tukang Tanam </v>
          </cell>
          <cell r="G25" t="str">
            <v xml:space="preserve">OH </v>
          </cell>
          <cell r="H25">
            <v>219818</v>
          </cell>
        </row>
        <row r="26">
          <cell r="F26" t="str">
            <v>Tukang pemelihara taman</v>
          </cell>
          <cell r="G26" t="str">
            <v xml:space="preserve">OH </v>
          </cell>
          <cell r="H26">
            <v>219818</v>
          </cell>
        </row>
        <row r="27">
          <cell r="F27" t="str">
            <v>Tukang pemelihara taman (115% Pekerja)</v>
          </cell>
          <cell r="G27" t="str">
            <v xml:space="preserve">OH </v>
          </cell>
          <cell r="H27">
            <v>219818</v>
          </cell>
        </row>
        <row r="28">
          <cell r="F28" t="str">
            <v>Tukang gali</v>
          </cell>
          <cell r="G28" t="str">
            <v>OH</v>
          </cell>
          <cell r="H28">
            <v>219818</v>
          </cell>
        </row>
        <row r="29">
          <cell r="F29" t="str">
            <v>Tukang aspal</v>
          </cell>
          <cell r="G29" t="str">
            <v>OH</v>
          </cell>
          <cell r="H29">
            <v>219818</v>
          </cell>
        </row>
        <row r="30">
          <cell r="F30" t="str">
            <v>Tukang Boring</v>
          </cell>
          <cell r="G30" t="str">
            <v>OH</v>
          </cell>
          <cell r="H30">
            <v>219818</v>
          </cell>
        </row>
        <row r="31">
          <cell r="F31" t="str">
            <v>Welder</v>
          </cell>
          <cell r="G31" t="str">
            <v>OH</v>
          </cell>
          <cell r="H31">
            <v>219818</v>
          </cell>
        </row>
        <row r="32">
          <cell r="F32" t="str">
            <v xml:space="preserve">Kepala Tukang Tanam </v>
          </cell>
          <cell r="G32" t="str">
            <v xml:space="preserve">OH </v>
          </cell>
          <cell r="H32">
            <v>256454</v>
          </cell>
        </row>
        <row r="33">
          <cell r="F33" t="str">
            <v>Kepala tukang</v>
          </cell>
          <cell r="G33" t="str">
            <v>OH</v>
          </cell>
          <cell r="H33">
            <v>256454</v>
          </cell>
        </row>
        <row r="34">
          <cell r="F34" t="str">
            <v>Mandor</v>
          </cell>
          <cell r="G34" t="str">
            <v>OH</v>
          </cell>
          <cell r="H34">
            <v>302250</v>
          </cell>
        </row>
        <row r="35">
          <cell r="F35" t="str">
            <v>Juru ukur</v>
          </cell>
          <cell r="G35" t="str">
            <v>OH</v>
          </cell>
          <cell r="H35">
            <v>219818</v>
          </cell>
        </row>
        <row r="36">
          <cell r="F36" t="str">
            <v>Pembantu juru ukur</v>
          </cell>
          <cell r="G36" t="str">
            <v>OH</v>
          </cell>
          <cell r="H36">
            <v>195088</v>
          </cell>
        </row>
        <row r="37">
          <cell r="F37" t="str">
            <v>Mekanik alat berat</v>
          </cell>
          <cell r="G37" t="str">
            <v>OH</v>
          </cell>
          <cell r="H37">
            <v>219818</v>
          </cell>
        </row>
        <row r="38">
          <cell r="F38" t="str">
            <v>Operator alat berat</v>
          </cell>
          <cell r="G38" t="str">
            <v>OH</v>
          </cell>
          <cell r="H38">
            <v>302250</v>
          </cell>
        </row>
        <row r="39">
          <cell r="F39" t="str">
            <v>Pembantu operator alat berat</v>
          </cell>
          <cell r="G39" t="str">
            <v>OH</v>
          </cell>
          <cell r="H39">
            <v>195088</v>
          </cell>
        </row>
        <row r="40">
          <cell r="F40" t="str">
            <v>Sopir</v>
          </cell>
          <cell r="G40" t="str">
            <v>OH</v>
          </cell>
          <cell r="H40">
            <v>256454</v>
          </cell>
        </row>
        <row r="41">
          <cell r="F41" t="str">
            <v>Kenek</v>
          </cell>
          <cell r="G41" t="str">
            <v>OH</v>
          </cell>
          <cell r="H41">
            <v>195088</v>
          </cell>
        </row>
        <row r="42">
          <cell r="F42" t="str">
            <v>Administrasi bor</v>
          </cell>
          <cell r="G42" t="str">
            <v>OH</v>
          </cell>
          <cell r="H42">
            <v>302250</v>
          </cell>
        </row>
        <row r="43">
          <cell r="F43" t="str">
            <v>Ahli geologist</v>
          </cell>
          <cell r="G43" t="str">
            <v>OH</v>
          </cell>
          <cell r="H43">
            <v>302250</v>
          </cell>
        </row>
        <row r="44">
          <cell r="F44" t="str">
            <v>Ahli topografi</v>
          </cell>
          <cell r="G44" t="str">
            <v>OH</v>
          </cell>
          <cell r="H44">
            <v>302250</v>
          </cell>
        </row>
        <row r="45">
          <cell r="F45" t="str">
            <v>Crew driller</v>
          </cell>
          <cell r="G45" t="str">
            <v>OH</v>
          </cell>
          <cell r="H45">
            <v>302250</v>
          </cell>
        </row>
        <row r="46">
          <cell r="F46" t="str">
            <v>Driller</v>
          </cell>
          <cell r="G46" t="str">
            <v>OH</v>
          </cell>
          <cell r="H46">
            <v>302250</v>
          </cell>
        </row>
        <row r="47">
          <cell r="F47" t="str">
            <v>Juru gambar</v>
          </cell>
          <cell r="G47" t="str">
            <v>OH</v>
          </cell>
          <cell r="H47">
            <v>219818</v>
          </cell>
        </row>
        <row r="48">
          <cell r="F48" t="str">
            <v>Koordinator driller</v>
          </cell>
          <cell r="G48" t="str">
            <v>OH</v>
          </cell>
          <cell r="H48">
            <v>302250</v>
          </cell>
        </row>
        <row r="49">
          <cell r="F49" t="str">
            <v>Operator pompa</v>
          </cell>
          <cell r="G49" t="str">
            <v>OH</v>
          </cell>
          <cell r="H49">
            <v>302250</v>
          </cell>
        </row>
        <row r="50">
          <cell r="F50" t="str">
            <v>Pembantu driller</v>
          </cell>
          <cell r="G50" t="str">
            <v>OH</v>
          </cell>
          <cell r="H50">
            <v>195088</v>
          </cell>
        </row>
        <row r="51">
          <cell r="F51" t="str">
            <v>Pembantu mekanik alat berat</v>
          </cell>
          <cell r="G51" t="str">
            <v>OH</v>
          </cell>
          <cell r="H51">
            <v>195088</v>
          </cell>
        </row>
        <row r="52">
          <cell r="F52" t="str">
            <v>Supir kendaraan &lt;  2 ton (termasuk sedan)</v>
          </cell>
          <cell r="G52" t="str">
            <v>OH</v>
          </cell>
          <cell r="H52">
            <v>302250</v>
          </cell>
        </row>
        <row r="53">
          <cell r="F53" t="str">
            <v xml:space="preserve">Tenaga Terampil Operator </v>
          </cell>
          <cell r="G53" t="str">
            <v xml:space="preserve">OH </v>
          </cell>
          <cell r="H53">
            <v>302250</v>
          </cell>
        </row>
        <row r="54">
          <cell r="F54" t="str">
            <v xml:space="preserve">Tenaga Ahli Muda </v>
          </cell>
          <cell r="G54" t="str">
            <v xml:space="preserve">OH </v>
          </cell>
          <cell r="H54">
            <v>302250</v>
          </cell>
        </row>
        <row r="58">
          <cell r="F58" t="str">
            <v>Agregat kasar</v>
          </cell>
          <cell r="G58" t="str">
            <v>m3</v>
          </cell>
          <cell r="H58">
            <v>479600</v>
          </cell>
        </row>
        <row r="59">
          <cell r="F59" t="str">
            <v xml:space="preserve">Agregar Kasar </v>
          </cell>
          <cell r="G59" t="str">
            <v xml:space="preserve">kg </v>
          </cell>
          <cell r="H59">
            <v>282.11764705882354</v>
          </cell>
        </row>
        <row r="60">
          <cell r="F60" t="str">
            <v>Agg Pokok</v>
          </cell>
          <cell r="G60" t="str">
            <v>m3</v>
          </cell>
          <cell r="H60">
            <v>369800</v>
          </cell>
        </row>
        <row r="61">
          <cell r="F61" t="str">
            <v>Agg Pengunci</v>
          </cell>
          <cell r="G61" t="str">
            <v>m3</v>
          </cell>
          <cell r="H61">
            <v>369800</v>
          </cell>
        </row>
        <row r="62">
          <cell r="F62" t="str">
            <v>Agg Penutup</v>
          </cell>
          <cell r="G62" t="str">
            <v>m3</v>
          </cell>
          <cell r="H62">
            <v>369800</v>
          </cell>
        </row>
        <row r="63">
          <cell r="F63" t="str">
            <v>Bata merah</v>
          </cell>
          <cell r="G63" t="str">
            <v>buah</v>
          </cell>
          <cell r="H63">
            <v>900</v>
          </cell>
        </row>
        <row r="64">
          <cell r="F64" t="str">
            <v>Bata merah 5 x  11 x  22 cm (per m3)</v>
          </cell>
          <cell r="G64" t="str">
            <v>m3</v>
          </cell>
          <cell r="H64">
            <v>872900</v>
          </cell>
        </row>
        <row r="65">
          <cell r="F65" t="str">
            <v>Bata ringan</v>
          </cell>
          <cell r="G65" t="str">
            <v>m3</v>
          </cell>
          <cell r="H65">
            <v>894700</v>
          </cell>
        </row>
        <row r="66">
          <cell r="F66" t="str">
            <v>Bata ringan t=10 cm</v>
          </cell>
          <cell r="G66" t="str">
            <v>m3</v>
          </cell>
          <cell r="H66">
            <v>896600</v>
          </cell>
        </row>
        <row r="67">
          <cell r="F67" t="str">
            <v>Bata ringan tebal 7,5 cm</v>
          </cell>
          <cell r="G67" t="str">
            <v>buah</v>
          </cell>
          <cell r="H67">
            <v>11200</v>
          </cell>
        </row>
        <row r="68">
          <cell r="F68" t="str">
            <v>Bata ringan tebal 10 cm</v>
          </cell>
          <cell r="G68" t="str">
            <v>buah</v>
          </cell>
          <cell r="H68">
            <v>12100</v>
          </cell>
        </row>
        <row r="69">
          <cell r="F69" t="str">
            <v>Bata ringan tebal 20 cm</v>
          </cell>
          <cell r="G69" t="str">
            <v>buah</v>
          </cell>
          <cell r="H69">
            <v>12256.164383561643</v>
          </cell>
        </row>
        <row r="70">
          <cell r="F70" t="str">
            <v>Bata rooster</v>
          </cell>
          <cell r="G70" t="str">
            <v>buah</v>
          </cell>
          <cell r="H70">
            <v>14700</v>
          </cell>
        </row>
        <row r="71">
          <cell r="F71" t="str">
            <v xml:space="preserve">Bata Berongga Uk. 12x11x24 </v>
          </cell>
          <cell r="G71" t="str">
            <v xml:space="preserve">buah </v>
          </cell>
          <cell r="H71">
            <v>17000</v>
          </cell>
        </row>
        <row r="72">
          <cell r="F72" t="str">
            <v>Batu alam andesit  bakar</v>
          </cell>
          <cell r="G72" t="str">
            <v>m²</v>
          </cell>
          <cell r="H72" t="str">
            <v>X</v>
          </cell>
        </row>
        <row r="73">
          <cell r="F73" t="str">
            <v>Batu alam andesit  non bakar</v>
          </cell>
          <cell r="G73" t="str">
            <v>m²</v>
          </cell>
          <cell r="H73" t="str">
            <v>X</v>
          </cell>
        </row>
        <row r="74">
          <cell r="F74" t="str">
            <v>Batu belah (base camp - lokasi pekerjaan)</v>
          </cell>
          <cell r="G74" t="str">
            <v>m3</v>
          </cell>
          <cell r="H74" t="str">
            <v>X</v>
          </cell>
        </row>
        <row r="75">
          <cell r="F75" t="str">
            <v>Batu belah (quarry - base camp)</v>
          </cell>
          <cell r="G75" t="str">
            <v>m3</v>
          </cell>
          <cell r="H75" t="str">
            <v>X</v>
          </cell>
        </row>
        <row r="76">
          <cell r="F76" t="str">
            <v>Batu belah (quarry - lokasi pekerjaan)</v>
          </cell>
          <cell r="G76" t="str">
            <v>m3</v>
          </cell>
          <cell r="H76">
            <v>370100</v>
          </cell>
        </row>
        <row r="77">
          <cell r="F77" t="str">
            <v>Pasangan batu ukuran 20/50 t=40cm</v>
          </cell>
          <cell r="G77" t="str">
            <v>m3</v>
          </cell>
          <cell r="H77">
            <v>133200</v>
          </cell>
        </row>
        <row r="78">
          <cell r="F78" t="str">
            <v>Fondasi pasangan batu</v>
          </cell>
          <cell r="G78" t="str">
            <v>m3</v>
          </cell>
          <cell r="H78">
            <v>133200</v>
          </cell>
        </row>
        <row r="79">
          <cell r="F79" t="str">
            <v>Batu belah (m3)</v>
          </cell>
          <cell r="G79" t="str">
            <v>m3</v>
          </cell>
          <cell r="H79">
            <v>370100</v>
          </cell>
        </row>
        <row r="80">
          <cell r="F80" t="str">
            <v>Batu candi</v>
          </cell>
          <cell r="G80" t="str">
            <v>m²</v>
          </cell>
          <cell r="H80" t="str">
            <v>X</v>
          </cell>
        </row>
        <row r="81">
          <cell r="F81" t="str">
            <v>Batu kali (quarry - base camp)</v>
          </cell>
          <cell r="G81" t="str">
            <v>m3</v>
          </cell>
          <cell r="H81">
            <v>345100</v>
          </cell>
        </row>
        <row r="82">
          <cell r="F82" t="str">
            <v>Batu kali (quarry)</v>
          </cell>
          <cell r="G82" t="str">
            <v>m3</v>
          </cell>
          <cell r="H82" t="str">
            <v>X</v>
          </cell>
        </row>
        <row r="83">
          <cell r="F83" t="str">
            <v>Batu Muka ukuran 12x18 cm</v>
          </cell>
          <cell r="G83" t="str">
            <v>m2</v>
          </cell>
          <cell r="H83" t="str">
            <v>X</v>
          </cell>
        </row>
        <row r="84">
          <cell r="F84" t="str">
            <v xml:space="preserve">Batu </v>
          </cell>
          <cell r="G84" t="str">
            <v>m3</v>
          </cell>
          <cell r="H84">
            <v>295100</v>
          </cell>
        </row>
        <row r="85">
          <cell r="F85" t="str">
            <v>Batu Paras</v>
          </cell>
          <cell r="G85" t="str">
            <v>m2</v>
          </cell>
          <cell r="H85">
            <v>131000</v>
          </cell>
        </row>
        <row r="86">
          <cell r="F86" t="str">
            <v>Batu pecah</v>
          </cell>
          <cell r="G86" t="str">
            <v>kg</v>
          </cell>
          <cell r="H86" t="str">
            <v>X</v>
          </cell>
        </row>
        <row r="87">
          <cell r="F87" t="str">
            <v>Batu pecah 3/5</v>
          </cell>
          <cell r="G87" t="str">
            <v>m3</v>
          </cell>
          <cell r="H87">
            <v>346300</v>
          </cell>
        </row>
        <row r="88">
          <cell r="F88" t="str">
            <v>Batu pecah 5/7</v>
          </cell>
          <cell r="G88" t="str">
            <v>m3</v>
          </cell>
          <cell r="H88">
            <v>403800</v>
          </cell>
        </row>
        <row r="89">
          <cell r="F89" t="str">
            <v>Batu putih</v>
          </cell>
          <cell r="G89" t="str">
            <v>m²</v>
          </cell>
          <cell r="H89" t="str">
            <v>X</v>
          </cell>
        </row>
        <row r="90">
          <cell r="F90" t="str">
            <v>Batu putih breksi</v>
          </cell>
          <cell r="G90" t="str">
            <v>m²</v>
          </cell>
          <cell r="H90" t="str">
            <v>X</v>
          </cell>
        </row>
        <row r="91">
          <cell r="F91" t="str">
            <v>Batu sikat</v>
          </cell>
          <cell r="G91" t="str">
            <v>kg</v>
          </cell>
          <cell r="H91" t="str">
            <v>X</v>
          </cell>
        </row>
        <row r="92">
          <cell r="F92" t="str">
            <v>Batu split 1/2</v>
          </cell>
          <cell r="G92" t="str">
            <v>m3</v>
          </cell>
          <cell r="H92">
            <v>248474</v>
          </cell>
        </row>
        <row r="93">
          <cell r="F93" t="str">
            <v>Batu split 2/3</v>
          </cell>
          <cell r="G93" t="str">
            <v>m3</v>
          </cell>
          <cell r="H93">
            <v>242248</v>
          </cell>
        </row>
        <row r="94">
          <cell r="F94" t="str">
            <v>Koral Beton</v>
          </cell>
          <cell r="G94" t="str">
            <v>m3</v>
          </cell>
          <cell r="H94">
            <v>442600</v>
          </cell>
        </row>
        <row r="95">
          <cell r="F95" t="str">
            <v>Batu tempel hitam</v>
          </cell>
          <cell r="G95" t="str">
            <v>m2</v>
          </cell>
          <cell r="H95">
            <v>201300</v>
          </cell>
        </row>
        <row r="96">
          <cell r="F96" t="str">
            <v>Fly ash</v>
          </cell>
          <cell r="G96" t="str">
            <v>kg</v>
          </cell>
          <cell r="H96">
            <v>2400</v>
          </cell>
        </row>
        <row r="97">
          <cell r="F97" t="str">
            <v>HB-10</v>
          </cell>
          <cell r="G97" t="str">
            <v>buah</v>
          </cell>
          <cell r="H97">
            <v>6600</v>
          </cell>
        </row>
        <row r="98">
          <cell r="F98" t="str">
            <v>HB-15</v>
          </cell>
          <cell r="G98" t="str">
            <v>buah</v>
          </cell>
          <cell r="H98">
            <v>8000</v>
          </cell>
        </row>
        <row r="99">
          <cell r="F99" t="str">
            <v>HB-20</v>
          </cell>
          <cell r="G99" t="str">
            <v>buah</v>
          </cell>
          <cell r="H99">
            <v>9900</v>
          </cell>
        </row>
        <row r="100">
          <cell r="F100" t="str">
            <v>Kerikil (m3)</v>
          </cell>
          <cell r="G100" t="str">
            <v>m3</v>
          </cell>
          <cell r="H100">
            <v>402400</v>
          </cell>
        </row>
        <row r="101">
          <cell r="F101" t="str">
            <v>Kerikil</v>
          </cell>
          <cell r="G101" t="str">
            <v>kg</v>
          </cell>
          <cell r="H101">
            <v>230</v>
          </cell>
        </row>
        <row r="102">
          <cell r="F102" t="str">
            <v>Koral bulat</v>
          </cell>
          <cell r="G102" t="str">
            <v>m3</v>
          </cell>
          <cell r="H102" t="str">
            <v>X</v>
          </cell>
        </row>
        <row r="103">
          <cell r="F103" t="str">
            <v>Pasir Beton</v>
          </cell>
          <cell r="G103" t="str">
            <v>kg</v>
          </cell>
          <cell r="H103">
            <v>330</v>
          </cell>
        </row>
        <row r="104">
          <cell r="F104" t="str">
            <v>Pasir Beton (m3)</v>
          </cell>
          <cell r="G104" t="str">
            <v>m3</v>
          </cell>
          <cell r="H104">
            <v>390300</v>
          </cell>
        </row>
        <row r="105">
          <cell r="F105" t="str">
            <v>Pasir beton (Base camp - lokasi pekerjaan)</v>
          </cell>
          <cell r="G105" t="str">
            <v>m3</v>
          </cell>
          <cell r="H105" t="str">
            <v>X</v>
          </cell>
        </row>
        <row r="106">
          <cell r="F106" t="str">
            <v>Pasir beton (quarry - Base camp)</v>
          </cell>
          <cell r="G106" t="str">
            <v>m3</v>
          </cell>
          <cell r="H106" t="str">
            <v>X</v>
          </cell>
        </row>
        <row r="107">
          <cell r="F107" t="str">
            <v>Pasir beton (quarry - lokasi pekerjaan)</v>
          </cell>
          <cell r="G107" t="str">
            <v>m3</v>
          </cell>
          <cell r="H107" t="str">
            <v>X</v>
          </cell>
        </row>
        <row r="108">
          <cell r="F108" t="str">
            <v>Pasir beton (quarry)</v>
          </cell>
          <cell r="G108" t="str">
            <v>m3</v>
          </cell>
          <cell r="H108" t="str">
            <v>X</v>
          </cell>
        </row>
        <row r="109">
          <cell r="F109" t="str">
            <v>Pasir pasang (m3)</v>
          </cell>
          <cell r="G109" t="str">
            <v>m3</v>
          </cell>
          <cell r="H109">
            <v>382000</v>
          </cell>
        </row>
        <row r="110">
          <cell r="F110" t="str">
            <v>Pasir pasang (quarry - base camp)</v>
          </cell>
          <cell r="G110" t="str">
            <v>m3</v>
          </cell>
          <cell r="H110" t="str">
            <v>X</v>
          </cell>
        </row>
        <row r="111">
          <cell r="F111" t="str">
            <v>Pasir pasang (quarry - lokasi pekerjaan)</v>
          </cell>
          <cell r="G111" t="str">
            <v>m3</v>
          </cell>
          <cell r="H111" t="str">
            <v>X</v>
          </cell>
        </row>
        <row r="112">
          <cell r="F112" t="str">
            <v>Pasir pasang (quarry)</v>
          </cell>
          <cell r="G112" t="str">
            <v>m3</v>
          </cell>
          <cell r="H112" t="str">
            <v>X</v>
          </cell>
        </row>
        <row r="113">
          <cell r="F113" t="str">
            <v>Pasir urug (quarry - base camp)</v>
          </cell>
          <cell r="G113" t="str">
            <v>m3</v>
          </cell>
          <cell r="H113" t="str">
            <v>X</v>
          </cell>
        </row>
        <row r="114">
          <cell r="F114" t="str">
            <v>Pasir urug (quarry - lokasi pekerjaan)</v>
          </cell>
          <cell r="G114" t="str">
            <v>m3</v>
          </cell>
          <cell r="H114" t="str">
            <v>X</v>
          </cell>
        </row>
        <row r="115">
          <cell r="F115" t="str">
            <v>Pasir Urug (quarry)</v>
          </cell>
          <cell r="G115" t="str">
            <v>m3</v>
          </cell>
          <cell r="H115" t="str">
            <v>X</v>
          </cell>
        </row>
        <row r="116">
          <cell r="F116" t="str">
            <v>Pasir Urug</v>
          </cell>
          <cell r="G116" t="str">
            <v>m3</v>
          </cell>
          <cell r="H116">
            <v>324500</v>
          </cell>
        </row>
        <row r="117">
          <cell r="F117" t="str">
            <v>Serbuk batu granit</v>
          </cell>
          <cell r="G117" t="str">
            <v>kg</v>
          </cell>
          <cell r="H117">
            <v>12000</v>
          </cell>
        </row>
        <row r="118">
          <cell r="F118" t="str">
            <v>Serbuk batu traso</v>
          </cell>
          <cell r="G118" t="str">
            <v>kg</v>
          </cell>
          <cell r="H118">
            <v>13000</v>
          </cell>
        </row>
        <row r="119">
          <cell r="F119" t="str">
            <v>Sirtu (base camp - lokasi pekerjaan)</v>
          </cell>
          <cell r="G119" t="str">
            <v>m3</v>
          </cell>
          <cell r="H119" t="str">
            <v>X</v>
          </cell>
        </row>
        <row r="120">
          <cell r="F120" t="str">
            <v>Sirtu (quarry - base camp)</v>
          </cell>
          <cell r="G120" t="str">
            <v>m3</v>
          </cell>
          <cell r="H120" t="str">
            <v>X</v>
          </cell>
        </row>
        <row r="121">
          <cell r="F121" t="str">
            <v>Sirtu (quarry - lokasi pekerjaan)</v>
          </cell>
          <cell r="G121" t="str">
            <v>m3</v>
          </cell>
          <cell r="H121" t="str">
            <v>X</v>
          </cell>
        </row>
        <row r="122">
          <cell r="F122" t="str">
            <v>Sirtu</v>
          </cell>
          <cell r="G122" t="str">
            <v>m3</v>
          </cell>
          <cell r="H122">
            <v>301900</v>
          </cell>
        </row>
        <row r="123">
          <cell r="F123" t="str">
            <v>Tanah biasa (quarry - lokasi pekerjaan)</v>
          </cell>
          <cell r="G123" t="str">
            <v>m3</v>
          </cell>
          <cell r="H123" t="str">
            <v>X</v>
          </cell>
        </row>
        <row r="124">
          <cell r="F124" t="str">
            <v>Tanah biasa (quarry)</v>
          </cell>
          <cell r="G124" t="str">
            <v>m3</v>
          </cell>
          <cell r="H124">
            <v>123300</v>
          </cell>
        </row>
        <row r="125">
          <cell r="F125" t="str">
            <v>Tanah liat</v>
          </cell>
          <cell r="G125" t="str">
            <v>m3</v>
          </cell>
          <cell r="H125">
            <v>242400</v>
          </cell>
        </row>
        <row r="126">
          <cell r="F126" t="str">
            <v>Tanah liat (quarry-lokasi pekerjaan)</v>
          </cell>
          <cell r="G126" t="str">
            <v>m3</v>
          </cell>
          <cell r="H126" t="str">
            <v>X</v>
          </cell>
        </row>
        <row r="127">
          <cell r="F127" t="str">
            <v>Tanah padas  (quarry - lokasi pekerjaan)</v>
          </cell>
          <cell r="G127" t="str">
            <v>m3</v>
          </cell>
          <cell r="H127" t="str">
            <v>X</v>
          </cell>
        </row>
        <row r="128">
          <cell r="F128" t="str">
            <v>Tanah padas  (quarry)</v>
          </cell>
          <cell r="G128" t="str">
            <v>m3</v>
          </cell>
          <cell r="H128" t="str">
            <v>X</v>
          </cell>
        </row>
        <row r="129">
          <cell r="F129" t="str">
            <v>Tanah Pilihan (quarry - lokasi pekerjaan)</v>
          </cell>
          <cell r="G129" t="str">
            <v>m3</v>
          </cell>
          <cell r="H129" t="str">
            <v>X</v>
          </cell>
        </row>
        <row r="130">
          <cell r="F130" t="str">
            <v>Tanah Pilihan (quarry)</v>
          </cell>
          <cell r="G130" t="str">
            <v>m3</v>
          </cell>
          <cell r="H130">
            <v>391300</v>
          </cell>
        </row>
        <row r="131">
          <cell r="F131" t="str">
            <v>Tanah Subur</v>
          </cell>
          <cell r="G131" t="str">
            <v>m3</v>
          </cell>
          <cell r="H131">
            <v>178700</v>
          </cell>
        </row>
        <row r="133">
          <cell r="F133" t="str">
            <v>Bambu Ø 10 cm panjang 600 cm</v>
          </cell>
          <cell r="G133" t="str">
            <v>batang</v>
          </cell>
          <cell r="H133">
            <v>34100</v>
          </cell>
        </row>
        <row r="134">
          <cell r="F134" t="str">
            <v>Bambu Ø 15 cm panjang 600 cm</v>
          </cell>
          <cell r="G134" t="str">
            <v>batang</v>
          </cell>
          <cell r="H134">
            <v>46700</v>
          </cell>
        </row>
        <row r="135">
          <cell r="F135" t="str">
            <v>Bambu Ø 6 - 8 cm, pjg 6m</v>
          </cell>
          <cell r="G135" t="str">
            <v>batang</v>
          </cell>
          <cell r="H135">
            <v>46700</v>
          </cell>
        </row>
        <row r="136">
          <cell r="F136" t="str">
            <v>Bambu panjang 4,5 m</v>
          </cell>
          <cell r="G136" t="str">
            <v>batang</v>
          </cell>
          <cell r="H136">
            <v>34100</v>
          </cell>
        </row>
        <row r="137">
          <cell r="F137" t="str">
            <v>Bambu panjang 2 meter</v>
          </cell>
          <cell r="G137" t="str">
            <v>batang</v>
          </cell>
          <cell r="H137">
            <v>17050</v>
          </cell>
        </row>
        <row r="138">
          <cell r="F138" t="str">
            <v xml:space="preserve">Bambu* dia. 3-5 cm </v>
          </cell>
          <cell r="G138" t="str">
            <v>m'</v>
          </cell>
          <cell r="H138">
            <v>7577.7777777777774</v>
          </cell>
        </row>
        <row r="139">
          <cell r="F139" t="str">
            <v xml:space="preserve">Bambu* dia. 5-8 cm </v>
          </cell>
          <cell r="G139" t="str">
            <v>m</v>
          </cell>
          <cell r="H139">
            <v>7783.333333333333</v>
          </cell>
        </row>
        <row r="140">
          <cell r="F140" t="str">
            <v xml:space="preserve">bambu* dia. 8-10 cm </v>
          </cell>
          <cell r="G140" t="str">
            <v>M</v>
          </cell>
          <cell r="H140">
            <v>5683.333333333333</v>
          </cell>
        </row>
        <row r="141">
          <cell r="F141" t="str">
            <v xml:space="preserve">bambu* dia. 10-12 cm </v>
          </cell>
          <cell r="G141" t="str">
            <v>m</v>
          </cell>
          <cell r="H141">
            <v>5683.333333333333</v>
          </cell>
        </row>
        <row r="142">
          <cell r="F142" t="str">
            <v xml:space="preserve">Anyaman Bambu </v>
          </cell>
          <cell r="G142" t="str">
            <v xml:space="preserve">lembar </v>
          </cell>
          <cell r="H142">
            <v>92700</v>
          </cell>
        </row>
        <row r="143">
          <cell r="F143" t="str">
            <v>Bilik bambu</v>
          </cell>
          <cell r="G143" t="str">
            <v>m2</v>
          </cell>
          <cell r="H143">
            <v>35300</v>
          </cell>
        </row>
        <row r="144">
          <cell r="F144" t="str">
            <v>Blockboard tebal 18 mm</v>
          </cell>
          <cell r="G144" t="str">
            <v>m2</v>
          </cell>
          <cell r="H144" t="str">
            <v>X</v>
          </cell>
        </row>
        <row r="145">
          <cell r="F145" t="str">
            <v>Dolken kayu φ 8-10 panjang 400 cm</v>
          </cell>
          <cell r="G145" t="str">
            <v>m'</v>
          </cell>
          <cell r="H145">
            <v>17800</v>
          </cell>
        </row>
        <row r="146">
          <cell r="F146" t="str">
            <v>Dolken kayu φ 8-10 panjang 400 cm</v>
          </cell>
          <cell r="G146" t="str">
            <v>batang</v>
          </cell>
          <cell r="H146">
            <v>62000</v>
          </cell>
        </row>
        <row r="147">
          <cell r="F147" t="str">
            <v>Kayu</v>
          </cell>
          <cell r="G147" t="str">
            <v>m3</v>
          </cell>
          <cell r="H147">
            <v>5169100</v>
          </cell>
        </row>
        <row r="148">
          <cell r="F148" t="str">
            <v>Kayu Balok Borneo</v>
          </cell>
          <cell r="G148" t="str">
            <v>M3</v>
          </cell>
          <cell r="H148">
            <v>5169100</v>
          </cell>
        </row>
        <row r="149">
          <cell r="F149" t="str">
            <v>Kayu balok 6/12 kelas I</v>
          </cell>
          <cell r="G149" t="str">
            <v>m3</v>
          </cell>
          <cell r="H149">
            <v>21686000</v>
          </cell>
        </row>
        <row r="150">
          <cell r="F150" t="str">
            <v>Kayu balok 6/12 kelas II</v>
          </cell>
          <cell r="G150" t="str">
            <v>m3</v>
          </cell>
          <cell r="H150">
            <v>11093900</v>
          </cell>
        </row>
        <row r="151">
          <cell r="F151" t="str">
            <v xml:space="preserve">Kayu balok kelas II </v>
          </cell>
          <cell r="G151" t="str">
            <v>M3</v>
          </cell>
          <cell r="H151">
            <v>11093900</v>
          </cell>
        </row>
        <row r="152">
          <cell r="F152" t="str">
            <v>Kayu balok 6/15 kelas I</v>
          </cell>
          <cell r="G152" t="str">
            <v>m3</v>
          </cell>
          <cell r="H152">
            <v>21686000</v>
          </cell>
        </row>
        <row r="153">
          <cell r="F153" t="str">
            <v>Kayu balok 6/15 kelas II</v>
          </cell>
          <cell r="G153" t="str">
            <v>m3</v>
          </cell>
          <cell r="H153">
            <v>11093900</v>
          </cell>
        </row>
        <row r="154">
          <cell r="F154" t="str">
            <v>Kayu balok 6/15 kelas II (batang)</v>
          </cell>
          <cell r="G154" t="str">
            <v>batang</v>
          </cell>
          <cell r="H154">
            <v>63200</v>
          </cell>
        </row>
        <row r="155">
          <cell r="F155" t="str">
            <v>Tiang kayu 8/12 kelas II tinggi 4m</v>
          </cell>
          <cell r="G155" t="str">
            <v>m3</v>
          </cell>
          <cell r="H155">
            <v>11093900</v>
          </cell>
        </row>
        <row r="156">
          <cell r="F156" t="str">
            <v>Tiang kayu 5/7 kelas II tinggi 3m</v>
          </cell>
          <cell r="G156" t="str">
            <v>m3</v>
          </cell>
          <cell r="H156">
            <v>1826100</v>
          </cell>
        </row>
        <row r="157">
          <cell r="F157" t="str">
            <v>kaso 5/7</v>
          </cell>
          <cell r="G157" t="str">
            <v>m3</v>
          </cell>
          <cell r="H157">
            <v>7533100</v>
          </cell>
        </row>
        <row r="158">
          <cell r="F158" t="str">
            <v>Kaso 5/7 kayu Kelas II</v>
          </cell>
          <cell r="G158" t="str">
            <v>m3</v>
          </cell>
          <cell r="H158">
            <v>7533100</v>
          </cell>
        </row>
        <row r="159">
          <cell r="F159" t="str">
            <v>Kayu kaso 5/7 kelas III</v>
          </cell>
          <cell r="G159" t="str">
            <v>m3</v>
          </cell>
          <cell r="H159">
            <v>1826100</v>
          </cell>
        </row>
        <row r="160">
          <cell r="F160" t="str">
            <v>Kayu Meranti (papan)</v>
          </cell>
          <cell r="G160" t="str">
            <v>m³</v>
          </cell>
          <cell r="H160">
            <v>3077500</v>
          </cell>
        </row>
        <row r="161">
          <cell r="F161" t="str">
            <v>Papan Kayu ukuran 2/20 cm</v>
          </cell>
          <cell r="G161" t="str">
            <v>m3</v>
          </cell>
          <cell r="H161">
            <v>3077500</v>
          </cell>
        </row>
        <row r="162">
          <cell r="F162" t="str">
            <v xml:space="preserve">Papan Cor </v>
          </cell>
          <cell r="G162" t="str">
            <v>m3</v>
          </cell>
          <cell r="H162">
            <v>3077500</v>
          </cell>
        </row>
        <row r="163">
          <cell r="F163" t="str">
            <v>Kayu papan 3/20 cm</v>
          </cell>
          <cell r="G163" t="str">
            <v>m3</v>
          </cell>
          <cell r="H163">
            <v>6451300</v>
          </cell>
        </row>
        <row r="164">
          <cell r="F164" t="str">
            <v>Kayu papan kelas I</v>
          </cell>
          <cell r="G164" t="str">
            <v>m3</v>
          </cell>
          <cell r="H164">
            <v>21136500</v>
          </cell>
        </row>
        <row r="165">
          <cell r="F165" t="str">
            <v>Kayu papan kelas II</v>
          </cell>
          <cell r="G165" t="str">
            <v>m3</v>
          </cell>
          <cell r="H165">
            <v>14084000</v>
          </cell>
        </row>
        <row r="166">
          <cell r="F166" t="str">
            <v>Kayu papan kelas III</v>
          </cell>
          <cell r="G166" t="str">
            <v>m3</v>
          </cell>
          <cell r="H166">
            <v>7598200</v>
          </cell>
        </row>
        <row r="167">
          <cell r="F167" t="str">
            <v>Kayu Papan tebal 9 mm</v>
          </cell>
          <cell r="G167" t="str">
            <v>M3</v>
          </cell>
          <cell r="H167">
            <v>4823800</v>
          </cell>
        </row>
        <row r="168">
          <cell r="F168" t="str">
            <v>Kayu papan kelas III (m2)</v>
          </cell>
          <cell r="G168" t="str">
            <v>m2</v>
          </cell>
          <cell r="H168">
            <v>450318</v>
          </cell>
        </row>
        <row r="169">
          <cell r="F169" t="str">
            <v>Kayu sengon (balok)</v>
          </cell>
          <cell r="G169" t="str">
            <v>m3</v>
          </cell>
          <cell r="H169" t="str">
            <v>X</v>
          </cell>
        </row>
        <row r="170">
          <cell r="F170" t="str">
            <v>Kayu Sengon (papan)</v>
          </cell>
          <cell r="G170" t="str">
            <v>m³</v>
          </cell>
          <cell r="H170" t="str">
            <v>X</v>
          </cell>
        </row>
        <row r="171">
          <cell r="F171" t="str">
            <v>List kayu 2x4 cm</v>
          </cell>
          <cell r="G171" t="str">
            <v>m3</v>
          </cell>
          <cell r="H171">
            <v>662400</v>
          </cell>
        </row>
        <row r="172">
          <cell r="F172" t="str">
            <v>List kayu profil</v>
          </cell>
          <cell r="G172" t="str">
            <v>m'</v>
          </cell>
          <cell r="H172">
            <v>42100</v>
          </cell>
        </row>
        <row r="173">
          <cell r="F173" t="str">
            <v>List kayu profil kelas II</v>
          </cell>
          <cell r="G173" t="str">
            <v>M</v>
          </cell>
          <cell r="H173">
            <v>42100</v>
          </cell>
        </row>
        <row r="174">
          <cell r="F174" t="str">
            <v>Multiplek tebal 4 mm</v>
          </cell>
          <cell r="G174" t="str">
            <v>lembar</v>
          </cell>
          <cell r="H174">
            <v>127200</v>
          </cell>
        </row>
        <row r="175">
          <cell r="F175" t="str">
            <v>Multiplek tebal 9 mm</v>
          </cell>
          <cell r="G175" t="str">
            <v>lembar</v>
          </cell>
          <cell r="H175">
            <v>205400</v>
          </cell>
        </row>
        <row r="176">
          <cell r="F176" t="str">
            <v>Multiplek tebal 12 mm</v>
          </cell>
          <cell r="G176" t="str">
            <v>lembar</v>
          </cell>
          <cell r="H176">
            <v>220600</v>
          </cell>
        </row>
        <row r="177">
          <cell r="F177" t="str">
            <v>Multiplek tebal 18 mm</v>
          </cell>
          <cell r="G177" t="str">
            <v>lembar</v>
          </cell>
          <cell r="H177">
            <v>295600</v>
          </cell>
        </row>
        <row r="178">
          <cell r="F178" t="str">
            <v>Perancah kayu</v>
          </cell>
          <cell r="G178" t="str">
            <v>m3</v>
          </cell>
          <cell r="H178">
            <v>3454300</v>
          </cell>
        </row>
        <row r="179">
          <cell r="F179" t="str">
            <v>Phenol film 12mm</v>
          </cell>
          <cell r="G179" t="str">
            <v>lembar</v>
          </cell>
          <cell r="H179">
            <v>251900</v>
          </cell>
        </row>
        <row r="180">
          <cell r="F180" t="str">
            <v>Pintu Double teakwood rangka kayu</v>
          </cell>
          <cell r="G180" t="str">
            <v>m2</v>
          </cell>
          <cell r="H180">
            <v>313600</v>
          </cell>
        </row>
        <row r="181">
          <cell r="F181" t="str">
            <v>Pintu panel kayu lapis timbal uk. 1x2 m</v>
          </cell>
          <cell r="G181" t="str">
            <v>unit</v>
          </cell>
          <cell r="H181" t="str">
            <v>X</v>
          </cell>
        </row>
        <row r="182">
          <cell r="F182" t="str">
            <v>Plywood 4 mm m3</v>
          </cell>
          <cell r="G182" t="str">
            <v>m3</v>
          </cell>
          <cell r="H182">
            <v>6318000</v>
          </cell>
        </row>
        <row r="183">
          <cell r="F183" t="str">
            <v>Plywood 3 mm</v>
          </cell>
          <cell r="G183" t="str">
            <v>lembar</v>
          </cell>
          <cell r="H183">
            <v>126360</v>
          </cell>
        </row>
        <row r="184">
          <cell r="F184" t="str">
            <v>Plywood 4 mm</v>
          </cell>
          <cell r="G184" t="str">
            <v>lembar</v>
          </cell>
          <cell r="H184">
            <v>126360</v>
          </cell>
        </row>
        <row r="185">
          <cell r="F185" t="str">
            <v>Plywood 6 mm</v>
          </cell>
          <cell r="G185" t="str">
            <v>lembar</v>
          </cell>
          <cell r="H185">
            <v>157950</v>
          </cell>
        </row>
        <row r="186">
          <cell r="F186" t="str">
            <v>Plywood 9 mm (120x240)</v>
          </cell>
          <cell r="G186" t="str">
            <v>lembar</v>
          </cell>
          <cell r="H186">
            <v>416800</v>
          </cell>
        </row>
        <row r="187">
          <cell r="F187" t="str">
            <v>Plywood 12 mm</v>
          </cell>
          <cell r="G187" t="str">
            <v>lembar</v>
          </cell>
          <cell r="H187">
            <v>458400</v>
          </cell>
        </row>
        <row r="188">
          <cell r="F188" t="str">
            <v>Reng 2x3 cm</v>
          </cell>
          <cell r="G188" t="str">
            <v>m3</v>
          </cell>
          <cell r="H188">
            <v>7720100</v>
          </cell>
        </row>
        <row r="189">
          <cell r="F189" t="str">
            <v>Reng 3x4 cm</v>
          </cell>
          <cell r="G189" t="str">
            <v>m3</v>
          </cell>
          <cell r="H189">
            <v>5164000</v>
          </cell>
        </row>
        <row r="190">
          <cell r="F190" t="str">
            <v>Teakwood 4 mm (120x240)</v>
          </cell>
          <cell r="G190" t="str">
            <v>lembar</v>
          </cell>
          <cell r="H190">
            <v>273600</v>
          </cell>
        </row>
        <row r="191">
          <cell r="F191" t="str">
            <v>Teakwood 4 mm (90x210)</v>
          </cell>
          <cell r="G191" t="str">
            <v>lembar</v>
          </cell>
          <cell r="H191" t="str">
            <v>X</v>
          </cell>
        </row>
        <row r="192">
          <cell r="F192" t="str">
            <v>Teakwood 9 mm (90x210)</v>
          </cell>
          <cell r="G192" t="str">
            <v>lembar</v>
          </cell>
          <cell r="H192" t="str">
            <v>X</v>
          </cell>
        </row>
        <row r="193">
          <cell r="F193" t="str">
            <v>Tripleks  t=9mm</v>
          </cell>
          <cell r="G193" t="str">
            <v>lembar</v>
          </cell>
          <cell r="H193">
            <v>168600</v>
          </cell>
        </row>
        <row r="194">
          <cell r="F194" t="str">
            <v>Veeneer tebal 2 mm</v>
          </cell>
          <cell r="G194" t="str">
            <v>m2</v>
          </cell>
          <cell r="H194" t="str">
            <v>X</v>
          </cell>
        </row>
        <row r="195">
          <cell r="H195" t="str">
            <v>X</v>
          </cell>
        </row>
        <row r="196">
          <cell r="F196" t="str">
            <v>Assesoris  PVC</v>
          </cell>
          <cell r="G196" t="str">
            <v>m'</v>
          </cell>
          <cell r="H196" t="str">
            <v>X</v>
          </cell>
        </row>
        <row r="197">
          <cell r="F197" t="str">
            <v>Automatic Air Vent  dia. 100 mm</v>
          </cell>
          <cell r="G197" t="str">
            <v xml:space="preserve">unit </v>
          </cell>
          <cell r="H197" t="str">
            <v>X</v>
          </cell>
        </row>
        <row r="198">
          <cell r="F198" t="str">
            <v>Automatic Air Vent  dia. 150 mm</v>
          </cell>
          <cell r="G198" t="str">
            <v>unit</v>
          </cell>
          <cell r="H198" t="str">
            <v>X</v>
          </cell>
        </row>
        <row r="199">
          <cell r="F199" t="str">
            <v>Automatic Air Vent  dia. 50 mm</v>
          </cell>
          <cell r="G199" t="str">
            <v xml:space="preserve">unit </v>
          </cell>
          <cell r="H199" t="str">
            <v>X</v>
          </cell>
        </row>
        <row r="200">
          <cell r="F200" t="str">
            <v>Automatic Air Vent  dia. 80 mm</v>
          </cell>
          <cell r="G200" t="str">
            <v>unit</v>
          </cell>
          <cell r="H200" t="str">
            <v>X</v>
          </cell>
        </row>
        <row r="201">
          <cell r="F201" t="str">
            <v>BCV Set dia. 100 mm</v>
          </cell>
          <cell r="G201" t="str">
            <v xml:space="preserve">set </v>
          </cell>
          <cell r="H201" t="str">
            <v>X</v>
          </cell>
        </row>
        <row r="202">
          <cell r="F202" t="str">
            <v>BCV Set dia. 150 mm</v>
          </cell>
          <cell r="G202" t="str">
            <v xml:space="preserve">set </v>
          </cell>
          <cell r="H202">
            <v>13377100</v>
          </cell>
        </row>
        <row r="203">
          <cell r="F203" t="str">
            <v>BCV Set dia. 50 mm</v>
          </cell>
          <cell r="G203" t="str">
            <v xml:space="preserve">set </v>
          </cell>
          <cell r="H203" t="str">
            <v>X</v>
          </cell>
        </row>
        <row r="204">
          <cell r="F204" t="str">
            <v>BCV Set dia. 65 mm</v>
          </cell>
          <cell r="G204" t="str">
            <v xml:space="preserve">set </v>
          </cell>
          <cell r="H204" t="str">
            <v>X</v>
          </cell>
        </row>
        <row r="205">
          <cell r="F205" t="str">
            <v>BCV Set dia. 80 mm</v>
          </cell>
          <cell r="G205" t="str">
            <v xml:space="preserve">set </v>
          </cell>
          <cell r="H205" t="str">
            <v>X</v>
          </cell>
        </row>
        <row r="206">
          <cell r="F206" t="str">
            <v>Cilinder Saw</v>
          </cell>
          <cell r="G206" t="str">
            <v xml:space="preserve">hari </v>
          </cell>
          <cell r="H206" t="str">
            <v>X</v>
          </cell>
        </row>
        <row r="207">
          <cell r="F207" t="str">
            <v xml:space="preserve">Coupling 1 set </v>
          </cell>
          <cell r="G207" t="str">
            <v xml:space="preserve">set </v>
          </cell>
          <cell r="H207" t="str">
            <v>X</v>
          </cell>
        </row>
        <row r="208">
          <cell r="F208" t="str">
            <v>Diesel Fire Pump Centrifugal End Suction dan Aksesoris</v>
          </cell>
          <cell r="G208" t="str">
            <v xml:space="preserve">unit </v>
          </cell>
          <cell r="H208" t="str">
            <v>X</v>
          </cell>
        </row>
        <row r="209">
          <cell r="F209" t="str">
            <v xml:space="preserve">Diesel Fire Pump Centrifugal End Suction dan Aksesoris </v>
          </cell>
          <cell r="G209" t="str">
            <v xml:space="preserve">unit </v>
          </cell>
          <cell r="H209" t="str">
            <v>X</v>
          </cell>
        </row>
        <row r="210">
          <cell r="F210" t="str">
            <v xml:space="preserve">Duct Tape </v>
          </cell>
          <cell r="G210" t="str">
            <v xml:space="preserve">gulung </v>
          </cell>
          <cell r="H210" t="str">
            <v>X</v>
          </cell>
        </row>
        <row r="211">
          <cell r="F211" t="str">
            <v xml:space="preserve">Fire Extinguisher 25 kg  dan Aksesoris </v>
          </cell>
          <cell r="G211" t="str">
            <v xml:space="preserve">unit </v>
          </cell>
          <cell r="H211" t="str">
            <v>X</v>
          </cell>
        </row>
        <row r="212">
          <cell r="F212" t="str">
            <v xml:space="preserve">Fire Extinguisher 3 kg  dan Aksesoris </v>
          </cell>
          <cell r="G212" t="str">
            <v xml:space="preserve">Unit </v>
          </cell>
          <cell r="H212" t="str">
            <v>X</v>
          </cell>
        </row>
        <row r="213">
          <cell r="F213" t="str">
            <v xml:space="preserve">Fire Extinguisher 5 kg  dan Aksesoris </v>
          </cell>
          <cell r="G213" t="str">
            <v>unit</v>
          </cell>
          <cell r="H213" t="str">
            <v>X</v>
          </cell>
        </row>
        <row r="214">
          <cell r="F214" t="str">
            <v>Flow Meter Analog dia. 100 mm</v>
          </cell>
          <cell r="G214" t="str">
            <v xml:space="preserve">unit </v>
          </cell>
          <cell r="H214" t="str">
            <v>X</v>
          </cell>
        </row>
        <row r="215">
          <cell r="F215" t="str">
            <v>Flow Meter Analog dia. 200 mm</v>
          </cell>
          <cell r="G215" t="str">
            <v xml:space="preserve">unit </v>
          </cell>
          <cell r="H215" t="str">
            <v>X</v>
          </cell>
        </row>
        <row r="216">
          <cell r="F216" t="str">
            <v xml:space="preserve">Flow Switch </v>
          </cell>
          <cell r="G216" t="str">
            <v xml:space="preserve">buah </v>
          </cell>
          <cell r="H216">
            <v>249500</v>
          </cell>
        </row>
        <row r="217">
          <cell r="F217" t="str">
            <v>Flow Switch dia. 50 mm</v>
          </cell>
          <cell r="G217" t="str">
            <v xml:space="preserve">buah </v>
          </cell>
          <cell r="H217" t="str">
            <v>X</v>
          </cell>
        </row>
        <row r="218">
          <cell r="F218" t="str">
            <v>Gergaji Pipa</v>
          </cell>
          <cell r="G218" t="str">
            <v xml:space="preserve">hari </v>
          </cell>
          <cell r="H218">
            <v>29500</v>
          </cell>
        </row>
        <row r="219">
          <cell r="F219" t="str">
            <v xml:space="preserve">Hydrant Pillar dan Aksesoris </v>
          </cell>
          <cell r="G219" t="str">
            <v xml:space="preserve">unit </v>
          </cell>
          <cell r="H219" t="str">
            <v>X</v>
          </cell>
        </row>
        <row r="220">
          <cell r="F220" t="str">
            <v xml:space="preserve">Indoor Hydrant Box dan Aksesoris </v>
          </cell>
          <cell r="G220" t="str">
            <v xml:space="preserve">unit </v>
          </cell>
          <cell r="H220" t="str">
            <v>X</v>
          </cell>
        </row>
        <row r="221">
          <cell r="F221" t="str">
            <v xml:space="preserve">Jockey Fire Pump Vertical Multi Stage 25 USGPM </v>
          </cell>
          <cell r="G221" t="str">
            <v xml:space="preserve">unit </v>
          </cell>
          <cell r="H221" t="str">
            <v>X</v>
          </cell>
        </row>
        <row r="222">
          <cell r="F222" t="str">
            <v>Landing valve 2,5"</v>
          </cell>
          <cell r="G222" t="str">
            <v xml:space="preserve">unit </v>
          </cell>
          <cell r="H222" t="str">
            <v>X</v>
          </cell>
        </row>
        <row r="223">
          <cell r="F223" t="str">
            <v xml:space="preserve">Main Fire Pump Centrifugal  End Suction 1.000 USGPM </v>
          </cell>
          <cell r="G223" t="str">
            <v xml:space="preserve">unit </v>
          </cell>
          <cell r="H223" t="str">
            <v>X</v>
          </cell>
        </row>
        <row r="224">
          <cell r="F224" t="str">
            <v xml:space="preserve">Main Fire Pump Centrifugal End Suction dan Aksesoris </v>
          </cell>
          <cell r="G224" t="str">
            <v xml:space="preserve">Unit </v>
          </cell>
          <cell r="H224" t="str">
            <v>X</v>
          </cell>
        </row>
        <row r="225">
          <cell r="F225" t="str">
            <v>MCV Set dia. 100 mm</v>
          </cell>
          <cell r="G225" t="str">
            <v xml:space="preserve">unit </v>
          </cell>
          <cell r="H225" t="str">
            <v>X</v>
          </cell>
        </row>
        <row r="226">
          <cell r="F226" t="str">
            <v>MCV Set dia. 150 mm</v>
          </cell>
          <cell r="G226" t="str">
            <v xml:space="preserve">unit </v>
          </cell>
          <cell r="H226" t="str">
            <v>X</v>
          </cell>
        </row>
        <row r="227">
          <cell r="F227" t="str">
            <v>MCV Set dia. 80 mm</v>
          </cell>
          <cell r="G227" t="str">
            <v xml:space="preserve">unit </v>
          </cell>
          <cell r="H227" t="str">
            <v>X</v>
          </cell>
        </row>
        <row r="228">
          <cell r="F228" t="str">
            <v>Orifice Plate dia. 25 mm</v>
          </cell>
          <cell r="G228" t="str">
            <v xml:space="preserve">unit </v>
          </cell>
          <cell r="H228" t="str">
            <v>X</v>
          </cell>
        </row>
        <row r="229">
          <cell r="F229" t="str">
            <v xml:space="preserve">Outdoor Hydrant Box dan Aksesoris </v>
          </cell>
          <cell r="G229" t="str">
            <v xml:space="preserve">unit </v>
          </cell>
          <cell r="H229" t="str">
            <v>X</v>
          </cell>
        </row>
        <row r="230">
          <cell r="F230" t="str">
            <v>Peralatan potong pipa T1/manual (gergaji) / saw</v>
          </cell>
          <cell r="G230" t="str">
            <v xml:space="preserve">hari </v>
          </cell>
          <cell r="H230">
            <v>36000</v>
          </cell>
        </row>
        <row r="231">
          <cell r="F231" t="str">
            <v>Peralatan potong pipa T2/mekanik / cilinder saw</v>
          </cell>
          <cell r="G231" t="str">
            <v xml:space="preserve">hari </v>
          </cell>
          <cell r="H231">
            <v>77100</v>
          </cell>
        </row>
        <row r="232">
          <cell r="F232" t="str">
            <v>Pipa Baja dia. 100 mm</v>
          </cell>
          <cell r="G232" t="str">
            <v>m'</v>
          </cell>
          <cell r="H232">
            <v>197400</v>
          </cell>
        </row>
        <row r="233">
          <cell r="F233" t="str">
            <v>Pipa Baja dia. 1000 mm</v>
          </cell>
          <cell r="G233" t="str">
            <v>m'</v>
          </cell>
          <cell r="H233" t="str">
            <v>X</v>
          </cell>
        </row>
        <row r="234">
          <cell r="F234" t="str">
            <v>Pipa Baja dia. 1100 mm</v>
          </cell>
          <cell r="G234" t="str">
            <v>m'</v>
          </cell>
          <cell r="H234" t="str">
            <v>X</v>
          </cell>
        </row>
        <row r="235">
          <cell r="F235" t="str">
            <v>Pipa Baja dia. 1200 mm</v>
          </cell>
          <cell r="G235" t="str">
            <v>m'</v>
          </cell>
          <cell r="H235" t="str">
            <v>X</v>
          </cell>
        </row>
        <row r="236">
          <cell r="F236" t="str">
            <v>Pipa Baja dia. 125 mm</v>
          </cell>
          <cell r="G236" t="str">
            <v>m'</v>
          </cell>
          <cell r="H236">
            <v>334100</v>
          </cell>
        </row>
        <row r="237">
          <cell r="F237" t="str">
            <v>Pipa Baja dia. 150 mm</v>
          </cell>
          <cell r="G237" t="str">
            <v>m'</v>
          </cell>
          <cell r="H237">
            <v>660900</v>
          </cell>
        </row>
        <row r="238">
          <cell r="F238" t="str">
            <v>Pipa Baja dia. 200 mm</v>
          </cell>
          <cell r="G238" t="str">
            <v>m'</v>
          </cell>
          <cell r="H238">
            <v>1009100</v>
          </cell>
        </row>
        <row r="239">
          <cell r="F239" t="str">
            <v>Pipa Baja dia. 250 mm</v>
          </cell>
          <cell r="G239" t="str">
            <v>m'</v>
          </cell>
          <cell r="H239">
            <v>1056000</v>
          </cell>
        </row>
        <row r="240">
          <cell r="F240" t="str">
            <v>Pipa Baja dia. 300 mm</v>
          </cell>
          <cell r="G240" t="str">
            <v>m'</v>
          </cell>
          <cell r="H240">
            <v>1306200</v>
          </cell>
        </row>
        <row r="241">
          <cell r="F241" t="str">
            <v>Pipa Baja dia. 400 mm</v>
          </cell>
          <cell r="G241" t="str">
            <v>m'</v>
          </cell>
          <cell r="H241">
            <v>1938800</v>
          </cell>
        </row>
        <row r="242">
          <cell r="F242" t="str">
            <v>Pipa Baja dia. 450 mm</v>
          </cell>
          <cell r="G242" t="str">
            <v>m'</v>
          </cell>
          <cell r="H242">
            <v>2025400</v>
          </cell>
        </row>
        <row r="243">
          <cell r="F243" t="str">
            <v>Pipa Baja dia. 500 mm</v>
          </cell>
          <cell r="G243" t="str">
            <v>m'</v>
          </cell>
          <cell r="H243">
            <v>2277000</v>
          </cell>
        </row>
        <row r="244">
          <cell r="F244" t="str">
            <v>Pipa Baja dia. 600 mm</v>
          </cell>
          <cell r="G244" t="str">
            <v>m'</v>
          </cell>
          <cell r="H244">
            <v>2717700</v>
          </cell>
        </row>
        <row r="245">
          <cell r="F245" t="str">
            <v>Pipa Baja dia. 63 mm</v>
          </cell>
          <cell r="G245" t="str">
            <v>m'</v>
          </cell>
          <cell r="H245">
            <v>132800</v>
          </cell>
        </row>
        <row r="246">
          <cell r="F246" t="str">
            <v>Pipa Baja dia. 800 mm</v>
          </cell>
          <cell r="G246" t="str">
            <v>m'</v>
          </cell>
          <cell r="H246">
            <v>3937400</v>
          </cell>
        </row>
        <row r="247">
          <cell r="F247" t="str">
            <v>Pipa Baja dia. 900 mm</v>
          </cell>
          <cell r="G247" t="str">
            <v>m'</v>
          </cell>
          <cell r="H247">
            <v>4543100</v>
          </cell>
        </row>
        <row r="248">
          <cell r="F248" t="str">
            <v>Pipa Baja Karbon, DN. 10" (250 mm)</v>
          </cell>
          <cell r="G248" t="str">
            <v>m'</v>
          </cell>
          <cell r="H248" t="str">
            <v>X</v>
          </cell>
        </row>
        <row r="249">
          <cell r="F249" t="str">
            <v>Pipa Baja Karbon, DN. 12" (300 mm)</v>
          </cell>
          <cell r="G249" t="str">
            <v>m'</v>
          </cell>
          <cell r="H249" t="str">
            <v>X</v>
          </cell>
        </row>
        <row r="250">
          <cell r="F250" t="str">
            <v>Pipa Baja Karbon, DN. 16" (400 mm)</v>
          </cell>
          <cell r="G250" t="str">
            <v>m'</v>
          </cell>
          <cell r="H250" t="str">
            <v>X</v>
          </cell>
        </row>
        <row r="251">
          <cell r="F251" t="str">
            <v>Pipa Baja Karbon, DN. 18" (450 mm</v>
          </cell>
          <cell r="G251" t="str">
            <v>m'</v>
          </cell>
          <cell r="H251" t="str">
            <v>X</v>
          </cell>
        </row>
        <row r="252">
          <cell r="F252" t="str">
            <v>Pipa Baja Karbon, DN. 2-1/2" (65 mm)</v>
          </cell>
          <cell r="G252" t="str">
            <v>m'</v>
          </cell>
          <cell r="H252" t="str">
            <v>X</v>
          </cell>
        </row>
        <row r="253">
          <cell r="F253" t="str">
            <v>Pipa Baja Karbon, DN. 20" (500 mm)</v>
          </cell>
          <cell r="G253" t="str">
            <v>m'</v>
          </cell>
          <cell r="H253" t="str">
            <v>X</v>
          </cell>
        </row>
        <row r="254">
          <cell r="F254" t="str">
            <v>Pipa Baja Karbon, DN. 24" (600 mm)</v>
          </cell>
          <cell r="G254" t="str">
            <v>m'</v>
          </cell>
          <cell r="H254" t="str">
            <v>X</v>
          </cell>
        </row>
        <row r="255">
          <cell r="F255" t="str">
            <v>Pipa Baja Karbon, DN. 32" (800 mm)</v>
          </cell>
          <cell r="G255" t="str">
            <v>m'</v>
          </cell>
          <cell r="H255" t="str">
            <v>X</v>
          </cell>
        </row>
        <row r="256">
          <cell r="F256" t="str">
            <v>Pipa Baja Karbon, DN. 36" (900 mm)</v>
          </cell>
          <cell r="G256" t="str">
            <v>m'</v>
          </cell>
          <cell r="H256" t="str">
            <v>X</v>
          </cell>
        </row>
        <row r="257">
          <cell r="F257" t="str">
            <v>Pipa Baja Karbon, DN. 4" (100 mm)</v>
          </cell>
          <cell r="G257" t="str">
            <v>m'</v>
          </cell>
          <cell r="H257" t="str">
            <v>X</v>
          </cell>
        </row>
        <row r="258">
          <cell r="F258" t="str">
            <v>Pipa Baja Karbon, DN. 40" (1000 mm)</v>
          </cell>
          <cell r="G258" t="str">
            <v>m'</v>
          </cell>
          <cell r="H258" t="str">
            <v>X</v>
          </cell>
        </row>
        <row r="259">
          <cell r="F259" t="str">
            <v>Pipa Baja Karbon, DN. 44" (1100 mm)</v>
          </cell>
          <cell r="G259" t="str">
            <v>m'</v>
          </cell>
          <cell r="H259" t="str">
            <v>X</v>
          </cell>
        </row>
        <row r="260">
          <cell r="F260" t="str">
            <v>Pipa Baja Karbon, DN. 48" (1200 mm</v>
          </cell>
          <cell r="G260" t="str">
            <v>m'</v>
          </cell>
          <cell r="H260" t="str">
            <v>X</v>
          </cell>
        </row>
        <row r="261">
          <cell r="F261" t="str">
            <v>Pipa Baja Karbon, DN. 5" (125 mm)</v>
          </cell>
          <cell r="G261" t="str">
            <v>m'</v>
          </cell>
          <cell r="H261" t="str">
            <v>X</v>
          </cell>
        </row>
        <row r="262">
          <cell r="F262" t="str">
            <v>Pipa Baja Karbon, DN. 6" (150 mm)</v>
          </cell>
          <cell r="G262" t="str">
            <v>m'</v>
          </cell>
          <cell r="H262" t="str">
            <v>X</v>
          </cell>
        </row>
        <row r="263">
          <cell r="F263" t="str">
            <v>Pipa Baja Karbon, DN. 8" (200 mm)</v>
          </cell>
          <cell r="G263" t="str">
            <v>m'</v>
          </cell>
          <cell r="H263" t="str">
            <v>X</v>
          </cell>
        </row>
        <row r="264">
          <cell r="F264" t="str">
            <v>Pipa Galvanis dia. 100 mm</v>
          </cell>
          <cell r="G264" t="str">
            <v>m'</v>
          </cell>
          <cell r="H264">
            <v>288100</v>
          </cell>
        </row>
        <row r="265">
          <cell r="F265" t="str">
            <v>Pipa Galvanis dia. 1000 mm</v>
          </cell>
          <cell r="G265" t="str">
            <v>m'</v>
          </cell>
          <cell r="H265" t="str">
            <v>X</v>
          </cell>
        </row>
        <row r="266">
          <cell r="F266" t="str">
            <v>Pipa Galvanis dia. 1100 mm</v>
          </cell>
          <cell r="G266" t="str">
            <v>m'</v>
          </cell>
          <cell r="H266" t="str">
            <v>X</v>
          </cell>
        </row>
        <row r="267">
          <cell r="F267" t="str">
            <v>Pipa Galvanis dia. 1200 mm</v>
          </cell>
          <cell r="G267" t="str">
            <v>m'</v>
          </cell>
          <cell r="H267" t="str">
            <v>X</v>
          </cell>
        </row>
        <row r="268">
          <cell r="F268" t="str">
            <v>Pipa Galvanis dia. 125 mm</v>
          </cell>
          <cell r="G268" t="str">
            <v>m'</v>
          </cell>
          <cell r="H268">
            <v>354300</v>
          </cell>
        </row>
        <row r="269">
          <cell r="F269" t="str">
            <v>Pipa Galvanis dia. 15 mm</v>
          </cell>
          <cell r="G269" t="str">
            <v>m'</v>
          </cell>
          <cell r="H269">
            <v>35500</v>
          </cell>
        </row>
        <row r="270">
          <cell r="F270" t="str">
            <v>Pipa Galvanis dia. 150 mm</v>
          </cell>
          <cell r="G270" t="str">
            <v>m'</v>
          </cell>
          <cell r="H270">
            <v>402000</v>
          </cell>
        </row>
        <row r="271">
          <cell r="F271" t="str">
            <v>Pipa Galvanis dia. 20 mm</v>
          </cell>
          <cell r="G271" t="str">
            <v>m'</v>
          </cell>
          <cell r="H271">
            <v>50800</v>
          </cell>
        </row>
        <row r="272">
          <cell r="F272" t="str">
            <v>Pipa Galvanis dia. 200 mm</v>
          </cell>
          <cell r="G272" t="str">
            <v>m'</v>
          </cell>
          <cell r="H272">
            <v>750200</v>
          </cell>
        </row>
        <row r="273">
          <cell r="F273" t="str">
            <v>Pipa Galvanis dia. 25 mm</v>
          </cell>
          <cell r="G273" t="str">
            <v>m'</v>
          </cell>
          <cell r="H273">
            <v>68100</v>
          </cell>
        </row>
        <row r="274">
          <cell r="F274" t="str">
            <v>Pipa Galvanis dia. 250 mm</v>
          </cell>
          <cell r="G274" t="str">
            <v>m'</v>
          </cell>
          <cell r="H274">
            <v>2037000</v>
          </cell>
        </row>
        <row r="275">
          <cell r="F275" t="str">
            <v>Pipa Galvanis dia. 300 mm</v>
          </cell>
          <cell r="G275" t="str">
            <v>m'</v>
          </cell>
          <cell r="H275">
            <v>2573300</v>
          </cell>
        </row>
        <row r="276">
          <cell r="F276" t="str">
            <v>Pipa Galvanis dia. 32 mm</v>
          </cell>
          <cell r="G276" t="str">
            <v>m'</v>
          </cell>
          <cell r="H276">
            <v>93800</v>
          </cell>
        </row>
        <row r="277">
          <cell r="F277" t="str">
            <v>Pipa Galvanis dia. 40 mm</v>
          </cell>
          <cell r="G277" t="str">
            <v>m'</v>
          </cell>
          <cell r="H277">
            <v>105400</v>
          </cell>
        </row>
        <row r="278">
          <cell r="F278" t="str">
            <v>Pipa Galvanis dia. 400 mm</v>
          </cell>
          <cell r="G278" t="str">
            <v>m'</v>
          </cell>
          <cell r="H278">
            <v>2834800</v>
          </cell>
        </row>
        <row r="279">
          <cell r="F279" t="str">
            <v>Pipa Galvanis dia. 450 mm</v>
          </cell>
          <cell r="G279" t="str">
            <v>m'</v>
          </cell>
          <cell r="H279">
            <v>2917200</v>
          </cell>
        </row>
        <row r="280">
          <cell r="F280" t="str">
            <v>Pipa Galvanis dia. 50 mm</v>
          </cell>
          <cell r="G280" t="str">
            <v>m'</v>
          </cell>
          <cell r="H280">
            <v>151700</v>
          </cell>
        </row>
        <row r="281">
          <cell r="F281" t="str">
            <v>Pipa Galvanis dia. 500 mm</v>
          </cell>
          <cell r="G281" t="str">
            <v>m'</v>
          </cell>
          <cell r="H281">
            <v>3597100</v>
          </cell>
        </row>
        <row r="282">
          <cell r="F282" t="str">
            <v>Pipa Galvanis dia. 600 mm</v>
          </cell>
          <cell r="G282" t="str">
            <v>m'</v>
          </cell>
          <cell r="H282">
            <v>5132700</v>
          </cell>
        </row>
        <row r="283">
          <cell r="F283" t="str">
            <v>Pipa Galvanis dia. 63 mm</v>
          </cell>
          <cell r="G283" t="str">
            <v>m'</v>
          </cell>
          <cell r="H283">
            <v>236400</v>
          </cell>
        </row>
        <row r="284">
          <cell r="F284" t="str">
            <v>Pipa Galvanis dia. 800 mm</v>
          </cell>
          <cell r="G284" t="str">
            <v>m'</v>
          </cell>
          <cell r="H284">
            <v>5553800</v>
          </cell>
        </row>
        <row r="285">
          <cell r="F285" t="str">
            <v>Pipa Galvanis dia. 900 mm</v>
          </cell>
          <cell r="G285" t="str">
            <v>m'</v>
          </cell>
          <cell r="H285">
            <v>5982500</v>
          </cell>
        </row>
        <row r="286">
          <cell r="F286" t="str">
            <v>Pipa Galvanis, DN. 1-1/2" (40 mm)</v>
          </cell>
          <cell r="G286" t="str">
            <v>m'</v>
          </cell>
          <cell r="H286">
            <v>105400</v>
          </cell>
        </row>
        <row r="287">
          <cell r="F287" t="str">
            <v>Pipa Galvanis, DN. 1-1/4" (32 mm)</v>
          </cell>
          <cell r="G287" t="str">
            <v>m'</v>
          </cell>
          <cell r="H287">
            <v>93800</v>
          </cell>
        </row>
        <row r="288">
          <cell r="F288" t="str">
            <v>Pipa Galvanis, DN. 1" (25 mm)</v>
          </cell>
          <cell r="G288" t="str">
            <v>m'</v>
          </cell>
          <cell r="H288">
            <v>68100</v>
          </cell>
        </row>
        <row r="289">
          <cell r="F289" t="str">
            <v>Pipa Galvanis, DN. 1/2" (15 mm)</v>
          </cell>
          <cell r="G289" t="str">
            <v>m'</v>
          </cell>
          <cell r="H289">
            <v>35500</v>
          </cell>
        </row>
        <row r="290">
          <cell r="F290" t="str">
            <v>Pipa Galvanis, DN. 12" (300 mm</v>
          </cell>
          <cell r="G290" t="str">
            <v>m'</v>
          </cell>
          <cell r="H290">
            <v>2573300</v>
          </cell>
        </row>
        <row r="291">
          <cell r="F291" t="str">
            <v>Pipa Galvanis, DN. 16" (400 mm)</v>
          </cell>
          <cell r="G291" t="str">
            <v>m'</v>
          </cell>
          <cell r="H291">
            <v>2834800</v>
          </cell>
        </row>
        <row r="292">
          <cell r="F292" t="str">
            <v>Pipa Galvanis, DN. 18" (450 mm</v>
          </cell>
          <cell r="G292" t="str">
            <v>m'</v>
          </cell>
          <cell r="H292">
            <v>2917200</v>
          </cell>
        </row>
        <row r="293">
          <cell r="F293" t="str">
            <v>Pipa Galvanis, DN. 2-1/2" (65 mm)</v>
          </cell>
          <cell r="G293" t="str">
            <v>m'</v>
          </cell>
          <cell r="H293">
            <v>236400</v>
          </cell>
        </row>
        <row r="294">
          <cell r="F294" t="str">
            <v>Pipa Galvanis, DN. 2" (50 mm</v>
          </cell>
          <cell r="G294" t="str">
            <v>m'</v>
          </cell>
          <cell r="H294">
            <v>151700</v>
          </cell>
        </row>
        <row r="295">
          <cell r="F295" t="str">
            <v>Pipa Galvanis, DN. 20" (500 mm)</v>
          </cell>
          <cell r="G295" t="str">
            <v>m'</v>
          </cell>
          <cell r="H295">
            <v>3597100</v>
          </cell>
        </row>
        <row r="296">
          <cell r="F296" t="str">
            <v>Pipa Galvanis, DN. 24" (600 mm)</v>
          </cell>
          <cell r="G296" t="str">
            <v>m'</v>
          </cell>
          <cell r="H296">
            <v>5132700</v>
          </cell>
        </row>
        <row r="297">
          <cell r="F297" t="str">
            <v>Pipa Galvanis, DN. 3/4" (20 mm)</v>
          </cell>
          <cell r="G297" t="str">
            <v>m'</v>
          </cell>
          <cell r="H297">
            <v>50800</v>
          </cell>
        </row>
        <row r="298">
          <cell r="F298" t="str">
            <v>Pipa Galvanis, DN. 32" (800 mm)</v>
          </cell>
          <cell r="G298" t="str">
            <v>m'</v>
          </cell>
          <cell r="H298">
            <v>5553800</v>
          </cell>
        </row>
        <row r="299">
          <cell r="F299" t="str">
            <v>Pipa Galvanis, DN. 36" (900 mm)</v>
          </cell>
          <cell r="G299" t="str">
            <v>m'</v>
          </cell>
          <cell r="H299">
            <v>5982500</v>
          </cell>
        </row>
        <row r="300">
          <cell r="F300" t="str">
            <v>Pipa Galvanis, DN. 4" (100 mm)</v>
          </cell>
          <cell r="G300" t="str">
            <v>m'</v>
          </cell>
          <cell r="H300">
            <v>288100</v>
          </cell>
        </row>
        <row r="301">
          <cell r="F301" t="str">
            <v>Pipa Galvanis, DN. 40" (1000 mm)</v>
          </cell>
          <cell r="G301" t="str">
            <v>m'</v>
          </cell>
          <cell r="H301" t="str">
            <v>X</v>
          </cell>
        </row>
        <row r="302">
          <cell r="F302" t="str">
            <v>Pipa Galvanis, DN. 44" (1100 mm)</v>
          </cell>
          <cell r="G302" t="str">
            <v>m'</v>
          </cell>
          <cell r="H302" t="str">
            <v>X</v>
          </cell>
        </row>
        <row r="303">
          <cell r="F303" t="str">
            <v>Pipa Galvanis, DN. 48" (1200 mm</v>
          </cell>
          <cell r="G303" t="str">
            <v>m'</v>
          </cell>
          <cell r="H303" t="str">
            <v>X</v>
          </cell>
        </row>
        <row r="304">
          <cell r="F304" t="str">
            <v>Pipa Galvanis, DN. 5" (125 mm)</v>
          </cell>
          <cell r="G304" t="str">
            <v>m'</v>
          </cell>
          <cell r="H304">
            <v>354300</v>
          </cell>
        </row>
        <row r="305">
          <cell r="F305" t="str">
            <v>Pipa Galvanis, DN. 6" (150 mm)</v>
          </cell>
          <cell r="G305" t="str">
            <v>m'</v>
          </cell>
          <cell r="H305">
            <v>402000</v>
          </cell>
        </row>
        <row r="306">
          <cell r="F306" t="str">
            <v>Pipa Galvanis, DN. 8" (200 mm)</v>
          </cell>
          <cell r="G306" t="str">
            <v>m'</v>
          </cell>
          <cell r="H306">
            <v>750200</v>
          </cell>
        </row>
        <row r="307">
          <cell r="F307" t="str">
            <v>Pipa Galvanis, DN.10" (250 mm)</v>
          </cell>
          <cell r="G307" t="str">
            <v>m'</v>
          </cell>
          <cell r="H307">
            <v>2037000</v>
          </cell>
        </row>
        <row r="308">
          <cell r="F308" t="str">
            <v>Pipa HDPE 40/33 mm</v>
          </cell>
          <cell r="G308" t="str">
            <v>m'</v>
          </cell>
          <cell r="H308" t="str">
            <v>X</v>
          </cell>
        </row>
        <row r="309">
          <cell r="F309" t="str">
            <v>Pipa HDPE dia. 100 mm</v>
          </cell>
          <cell r="G309" t="str">
            <v>m'</v>
          </cell>
          <cell r="H309">
            <v>241500</v>
          </cell>
        </row>
        <row r="310">
          <cell r="F310" t="str">
            <v>Pipa HDPE dia. 1000 mm</v>
          </cell>
          <cell r="G310" t="str">
            <v>m'</v>
          </cell>
          <cell r="H310" t="str">
            <v>X</v>
          </cell>
        </row>
        <row r="311">
          <cell r="F311" t="str">
            <v>Pipa HDPE dia. 1100 mm</v>
          </cell>
          <cell r="G311" t="str">
            <v>m'</v>
          </cell>
          <cell r="H311" t="str">
            <v>X</v>
          </cell>
        </row>
        <row r="312">
          <cell r="F312" t="str">
            <v>Pipa HDPE dia. 1200 mm</v>
          </cell>
          <cell r="G312" t="str">
            <v>m'</v>
          </cell>
          <cell r="H312" t="str">
            <v>X</v>
          </cell>
        </row>
        <row r="313">
          <cell r="F313" t="str">
            <v>Pipa HDPE dia. 125 mm</v>
          </cell>
          <cell r="G313" t="str">
            <v>m'</v>
          </cell>
          <cell r="H313">
            <v>391100</v>
          </cell>
        </row>
        <row r="314">
          <cell r="F314" t="str">
            <v>Pipa HDPE dia. 15 mm</v>
          </cell>
          <cell r="G314" t="str">
            <v>m'</v>
          </cell>
          <cell r="H314">
            <v>11900</v>
          </cell>
        </row>
        <row r="315">
          <cell r="F315" t="str">
            <v>Pipa HDPE dia. 150 mm</v>
          </cell>
          <cell r="G315" t="str">
            <v>m'</v>
          </cell>
          <cell r="H315">
            <v>644300</v>
          </cell>
        </row>
        <row r="316">
          <cell r="F316" t="str">
            <v>Pipa HDPE dia. 20 mm</v>
          </cell>
          <cell r="G316" t="str">
            <v>m'</v>
          </cell>
          <cell r="H316">
            <v>14100</v>
          </cell>
        </row>
        <row r="317">
          <cell r="F317" t="str">
            <v>Pipa HDPE dia. 200 mm</v>
          </cell>
          <cell r="G317" t="str">
            <v>m'</v>
          </cell>
          <cell r="H317">
            <v>1008300</v>
          </cell>
        </row>
        <row r="318">
          <cell r="F318" t="str">
            <v>Pipa HDPE dia. 25 mm</v>
          </cell>
          <cell r="G318" t="str">
            <v>m'</v>
          </cell>
          <cell r="H318">
            <v>21200</v>
          </cell>
        </row>
        <row r="319">
          <cell r="F319" t="str">
            <v>Pipa HDPE dia. 250 mm</v>
          </cell>
          <cell r="G319" t="str">
            <v>m'</v>
          </cell>
          <cell r="H319">
            <v>1432500</v>
          </cell>
        </row>
        <row r="320">
          <cell r="F320" t="str">
            <v>Pipa HDPE dia. 300 mm</v>
          </cell>
          <cell r="G320" t="str">
            <v>m'</v>
          </cell>
          <cell r="H320">
            <v>1973600</v>
          </cell>
        </row>
        <row r="321">
          <cell r="F321" t="str">
            <v>Pipa HDPE dia. 32 mm</v>
          </cell>
          <cell r="G321" t="str">
            <v>m'</v>
          </cell>
          <cell r="H321" t="str">
            <v>X</v>
          </cell>
        </row>
        <row r="322">
          <cell r="F322" t="str">
            <v>Pipa HDPE dia. 40 mm</v>
          </cell>
          <cell r="G322" t="str">
            <v>m'</v>
          </cell>
          <cell r="H322">
            <v>49300</v>
          </cell>
        </row>
        <row r="323">
          <cell r="F323" t="str">
            <v>Pipa HDPE dia. 400 mm</v>
          </cell>
          <cell r="G323" t="str">
            <v>m'</v>
          </cell>
          <cell r="H323">
            <v>3174100</v>
          </cell>
        </row>
        <row r="324">
          <cell r="F324" t="str">
            <v>Pipa HDPE dia. 450 mm</v>
          </cell>
          <cell r="G324" t="str">
            <v>m'</v>
          </cell>
          <cell r="H324">
            <v>4018800</v>
          </cell>
        </row>
        <row r="325">
          <cell r="F325" t="str">
            <v>Pipa HDPE dia. 50 mm</v>
          </cell>
          <cell r="G325" t="str">
            <v>m'</v>
          </cell>
          <cell r="H325">
            <v>78000</v>
          </cell>
        </row>
        <row r="326">
          <cell r="F326" t="str">
            <v>Pipa HDPE dia. 500 mm</v>
          </cell>
          <cell r="G326" t="str">
            <v>m'</v>
          </cell>
          <cell r="H326">
            <v>4952200</v>
          </cell>
        </row>
        <row r="327">
          <cell r="F327" t="str">
            <v>Pipa HDPE dia. 600 mm</v>
          </cell>
          <cell r="G327" t="str">
            <v>m'</v>
          </cell>
          <cell r="H327">
            <v>7862200</v>
          </cell>
        </row>
        <row r="328">
          <cell r="F328" t="str">
            <v>Pipa HDPE dia. 63 mm</v>
          </cell>
          <cell r="G328" t="str">
            <v>m'</v>
          </cell>
          <cell r="H328">
            <v>112800</v>
          </cell>
        </row>
        <row r="329">
          <cell r="F329" t="str">
            <v>Pipa HDPE dia. 800 mm</v>
          </cell>
          <cell r="G329" t="str">
            <v>m'</v>
          </cell>
          <cell r="H329">
            <v>6967300</v>
          </cell>
        </row>
        <row r="330">
          <cell r="F330" t="str">
            <v>Pipa HDPE dia. 900 mm</v>
          </cell>
          <cell r="G330" t="str">
            <v>m'</v>
          </cell>
          <cell r="H330">
            <v>8798500</v>
          </cell>
        </row>
        <row r="331">
          <cell r="F331" t="str">
            <v>Pipa HDPE, DN. 1-1/2" (40 mm)</v>
          </cell>
          <cell r="G331" t="str">
            <v>m'</v>
          </cell>
          <cell r="H331">
            <v>49300</v>
          </cell>
        </row>
        <row r="332">
          <cell r="F332" t="str">
            <v>Pipa HDPE, DN. 1-1/4" (32 mm)</v>
          </cell>
          <cell r="G332" t="str">
            <v>m'</v>
          </cell>
          <cell r="H332" t="str">
            <v>X</v>
          </cell>
        </row>
        <row r="333">
          <cell r="F333" t="str">
            <v>Pipa HDPE, DN. 1" (25 mm)</v>
          </cell>
          <cell r="G333" t="str">
            <v>m'</v>
          </cell>
          <cell r="H333">
            <v>21200</v>
          </cell>
        </row>
        <row r="334">
          <cell r="F334" t="str">
            <v>Pipa HDPE, DN. 1/2" (15 mm)</v>
          </cell>
          <cell r="G334" t="str">
            <v>m'</v>
          </cell>
          <cell r="H334">
            <v>11900</v>
          </cell>
        </row>
        <row r="335">
          <cell r="F335" t="str">
            <v>Pipa HDPE, DN. 12" (300 mm</v>
          </cell>
          <cell r="G335" t="str">
            <v>m'</v>
          </cell>
          <cell r="H335">
            <v>1973600</v>
          </cell>
        </row>
        <row r="336">
          <cell r="F336" t="str">
            <v>Pipa HDPE, DN. 16" (400 mm)</v>
          </cell>
          <cell r="G336" t="str">
            <v>m'</v>
          </cell>
          <cell r="H336">
            <v>3174100</v>
          </cell>
        </row>
        <row r="337">
          <cell r="F337" t="str">
            <v>Pipa HDPE, DN. 18" (450 mm)</v>
          </cell>
          <cell r="G337" t="str">
            <v>m'</v>
          </cell>
          <cell r="H337">
            <v>4018800</v>
          </cell>
        </row>
        <row r="338">
          <cell r="F338" t="str">
            <v>Pipa HDPE, DN. 2-1/2" (65 mm)</v>
          </cell>
          <cell r="G338" t="str">
            <v>m'</v>
          </cell>
          <cell r="H338">
            <v>112800</v>
          </cell>
        </row>
        <row r="339">
          <cell r="F339" t="str">
            <v>Pipa HDPE, DN. 2" (50 mm)</v>
          </cell>
          <cell r="G339" t="str">
            <v>m'</v>
          </cell>
          <cell r="H339">
            <v>78000</v>
          </cell>
        </row>
        <row r="340">
          <cell r="F340" t="str">
            <v>Pipa HDPE, DN. 20" (500 mm)</v>
          </cell>
          <cell r="G340" t="str">
            <v>m'</v>
          </cell>
          <cell r="H340">
            <v>4952200</v>
          </cell>
        </row>
        <row r="341">
          <cell r="F341" t="str">
            <v>Pipa HDPE, DN. 24" (600 mm</v>
          </cell>
          <cell r="G341" t="str">
            <v>m'</v>
          </cell>
          <cell r="H341">
            <v>7862200</v>
          </cell>
        </row>
        <row r="342">
          <cell r="F342" t="str">
            <v>Pipa HDPE, DN. 3/4" (20 mm)</v>
          </cell>
          <cell r="G342" t="str">
            <v>m'</v>
          </cell>
          <cell r="H342">
            <v>14100</v>
          </cell>
        </row>
        <row r="343">
          <cell r="F343" t="str">
            <v>Pipa HDPE, DN. 32" (800 mm)</v>
          </cell>
          <cell r="G343" t="str">
            <v>m'</v>
          </cell>
          <cell r="H343">
            <v>6967300</v>
          </cell>
        </row>
        <row r="344">
          <cell r="F344" t="str">
            <v>Pipa HDPE, DN. 36" (900 mm)</v>
          </cell>
          <cell r="G344" t="str">
            <v>m'</v>
          </cell>
          <cell r="H344">
            <v>8798500</v>
          </cell>
        </row>
        <row r="345">
          <cell r="F345" t="str">
            <v>Pipa HDPE, DN. 4" (100 mm)</v>
          </cell>
          <cell r="G345" t="str">
            <v>m'</v>
          </cell>
          <cell r="H345">
            <v>241500</v>
          </cell>
        </row>
        <row r="346">
          <cell r="F346" t="str">
            <v>Pipa HDPE, DN. 40" (1000 mm)</v>
          </cell>
          <cell r="G346" t="str">
            <v>m'</v>
          </cell>
          <cell r="H346" t="str">
            <v>X</v>
          </cell>
        </row>
        <row r="347">
          <cell r="F347" t="str">
            <v>Pipa HDPE, DN. 44" (1100 mm)</v>
          </cell>
          <cell r="G347" t="str">
            <v>m'</v>
          </cell>
          <cell r="H347" t="str">
            <v>X</v>
          </cell>
        </row>
        <row r="348">
          <cell r="F348" t="str">
            <v>Pipa HDPE, DN. 48" (1200 mm)</v>
          </cell>
          <cell r="G348" t="str">
            <v>m'</v>
          </cell>
          <cell r="H348" t="str">
            <v>X</v>
          </cell>
        </row>
        <row r="349">
          <cell r="F349" t="str">
            <v>Pipa HDPE, DN. 5" (125 mm)</v>
          </cell>
          <cell r="G349" t="str">
            <v>m'</v>
          </cell>
          <cell r="H349">
            <v>391100</v>
          </cell>
        </row>
        <row r="350">
          <cell r="F350" t="str">
            <v>Pipa HDPE, DN. 6" (150 mm</v>
          </cell>
          <cell r="G350" t="str">
            <v>m'</v>
          </cell>
          <cell r="H350">
            <v>644300</v>
          </cell>
        </row>
        <row r="351">
          <cell r="F351" t="str">
            <v>Pipa HDPE, DN. 8" (200 mm)</v>
          </cell>
          <cell r="G351" t="str">
            <v>m'</v>
          </cell>
          <cell r="H351">
            <v>1008300</v>
          </cell>
        </row>
        <row r="352">
          <cell r="F352" t="str">
            <v>Pipa HDPE, DN.10" (250 mm)</v>
          </cell>
          <cell r="G352" t="str">
            <v>m'</v>
          </cell>
          <cell r="H352">
            <v>1432500</v>
          </cell>
        </row>
        <row r="353">
          <cell r="F353" t="str">
            <v>Pipa PVC  tipe D Ø 2"</v>
          </cell>
          <cell r="G353" t="str">
            <v>m'</v>
          </cell>
          <cell r="H353">
            <v>26700</v>
          </cell>
        </row>
        <row r="354">
          <cell r="F354" t="str">
            <v>Pipa PVC AW ; DN. 1-1/2" (40 mm) + fitting &amp; aksesoris</v>
          </cell>
          <cell r="G354" t="str">
            <v>m'</v>
          </cell>
          <cell r="H354">
            <v>33800</v>
          </cell>
        </row>
        <row r="355">
          <cell r="F355" t="str">
            <v>PIPA PVC AW ; DN. 1-1/2" (40 mm) dan aksesoris</v>
          </cell>
          <cell r="G355" t="str">
            <v>m'</v>
          </cell>
          <cell r="H355">
            <v>33800</v>
          </cell>
        </row>
        <row r="356">
          <cell r="F356" t="str">
            <v>Pipa PVC AW ; DN. 1-1/4" (32 mm) + fitting &amp; aksesoris</v>
          </cell>
          <cell r="G356" t="str">
            <v>m'</v>
          </cell>
          <cell r="H356">
            <v>29400</v>
          </cell>
        </row>
        <row r="357">
          <cell r="F357" t="str">
            <v>PIPA PVC AW ; DN. 1-1/4" (32 mm) dan aksesoris</v>
          </cell>
          <cell r="G357" t="str">
            <v>m'</v>
          </cell>
          <cell r="H357">
            <v>29400</v>
          </cell>
        </row>
        <row r="358">
          <cell r="F358" t="str">
            <v>Pipa PVC AW ; DN. 1" (25 mm) + fitting &amp; aksesoris</v>
          </cell>
          <cell r="G358" t="str">
            <v>m'</v>
          </cell>
          <cell r="H358">
            <v>22300</v>
          </cell>
        </row>
        <row r="359">
          <cell r="F359" t="str">
            <v>PIPA PVC AW ; DN. 1" (25 mm) dan aksesoris</v>
          </cell>
          <cell r="G359" t="str">
            <v>m'</v>
          </cell>
          <cell r="H359">
            <v>22300</v>
          </cell>
        </row>
        <row r="360">
          <cell r="F360" t="str">
            <v>Pipa PVC AW ; DN. 1/2" (15 mm) + fitting &amp; aksesoris</v>
          </cell>
          <cell r="G360" t="str">
            <v>m'</v>
          </cell>
          <cell r="H360">
            <v>8800</v>
          </cell>
        </row>
        <row r="361">
          <cell r="F361" t="str">
            <v>PIPA PVC AW ; DN. 1/2" (15 mm) dan aksesoris</v>
          </cell>
          <cell r="G361" t="str">
            <v>m'</v>
          </cell>
          <cell r="H361">
            <v>8800</v>
          </cell>
        </row>
        <row r="362">
          <cell r="F362" t="str">
            <v>Pipa PVC AW ; DN. 12" (300 mm) + fitting &amp; aksesoris</v>
          </cell>
          <cell r="G362" t="str">
            <v>m'</v>
          </cell>
          <cell r="H362">
            <v>957900</v>
          </cell>
        </row>
        <row r="363">
          <cell r="F363" t="str">
            <v>Pipa PVC AW ; DN. 14" (350 mm) + fitting &amp; aksesoris</v>
          </cell>
          <cell r="G363" t="str">
            <v>m'</v>
          </cell>
          <cell r="H363">
            <v>960700</v>
          </cell>
        </row>
        <row r="364">
          <cell r="F364" t="str">
            <v>Pipa PVC AW ; DN. 16" (400 mm) + fitting &amp; aksesoris</v>
          </cell>
          <cell r="G364" t="str">
            <v>m'</v>
          </cell>
          <cell r="H364">
            <v>1046300</v>
          </cell>
        </row>
        <row r="365">
          <cell r="F365" t="str">
            <v>Pipa PVC AW ; DN. 2-1/2" (65 mm) + fitting &amp; aksesoris</v>
          </cell>
          <cell r="G365" t="str">
            <v>m'</v>
          </cell>
          <cell r="H365">
            <v>61100</v>
          </cell>
        </row>
        <row r="366">
          <cell r="F366" t="str">
            <v>PIPA PVC AW ; DN. 2-1/2" (65 mm) dan aksesoris</v>
          </cell>
          <cell r="G366" t="str">
            <v>m'</v>
          </cell>
          <cell r="H366">
            <v>61100</v>
          </cell>
        </row>
        <row r="367">
          <cell r="F367" t="str">
            <v>Pipa PVC AW ; DN. 2" (50 mm) + fitting &amp; aksesoris</v>
          </cell>
          <cell r="G367" t="str">
            <v>m'</v>
          </cell>
          <cell r="H367">
            <v>43100</v>
          </cell>
        </row>
        <row r="368">
          <cell r="F368" t="str">
            <v>PIPA PVC AW ; DN. 2" (50 mm) dan aksesoris</v>
          </cell>
          <cell r="G368" t="str">
            <v>m'</v>
          </cell>
          <cell r="H368">
            <v>43100</v>
          </cell>
        </row>
        <row r="369">
          <cell r="F369" t="str">
            <v>Pipa PVC AW ; DN. 3" (80 mm) + fitting &amp; aksesoris</v>
          </cell>
          <cell r="G369" t="str">
            <v>m'</v>
          </cell>
          <cell r="H369">
            <v>88400</v>
          </cell>
        </row>
        <row r="370">
          <cell r="F370" t="str">
            <v>PIPA PVC AW ; DN. 3" (80 mm) dan aksesoris</v>
          </cell>
          <cell r="G370" t="str">
            <v>m'</v>
          </cell>
          <cell r="H370">
            <v>88400</v>
          </cell>
        </row>
        <row r="371">
          <cell r="F371" t="str">
            <v>Pipa PVC AW ; DN. 3/4" (20 mm) + fitting &amp; aksesoris</v>
          </cell>
          <cell r="G371" t="str">
            <v>m'</v>
          </cell>
          <cell r="H371">
            <v>15900</v>
          </cell>
        </row>
        <row r="372">
          <cell r="F372" t="str">
            <v>PIPA PVC AW ; DN. 3/4" (20 mm) dan aksesoris</v>
          </cell>
          <cell r="G372" t="str">
            <v>m'</v>
          </cell>
          <cell r="H372">
            <v>15900</v>
          </cell>
        </row>
        <row r="373">
          <cell r="F373" t="str">
            <v>Pipa PVC AW ; DN. 4" (100 mm) + fitting &amp; aksesoris</v>
          </cell>
          <cell r="G373" t="str">
            <v>m'</v>
          </cell>
          <cell r="H373">
            <v>146700</v>
          </cell>
        </row>
        <row r="374">
          <cell r="F374" t="str">
            <v>PIPA PVC AW ; DN. 4" (100 mm) dan aksesoris</v>
          </cell>
          <cell r="G374" t="str">
            <v>m'</v>
          </cell>
          <cell r="H374">
            <v>146700</v>
          </cell>
        </row>
        <row r="375">
          <cell r="F375" t="str">
            <v>Pipa PVC AW ; DN. 5" (125 mm) + fitting &amp; aksesoris</v>
          </cell>
          <cell r="G375" t="str">
            <v>m'</v>
          </cell>
          <cell r="H375">
            <v>225900</v>
          </cell>
        </row>
        <row r="376">
          <cell r="F376" t="str">
            <v>Pipa PVC AW ; DN. 6" (150 mm) + fitting &amp; aksesoris</v>
          </cell>
          <cell r="G376" t="str">
            <v>m'</v>
          </cell>
          <cell r="H376">
            <v>316800</v>
          </cell>
        </row>
        <row r="377">
          <cell r="F377" t="str">
            <v>Pipa PVC AW ; DN. 8" (200 mm) + fitting &amp; aksesoris</v>
          </cell>
          <cell r="G377" t="str">
            <v>m'</v>
          </cell>
          <cell r="H377">
            <v>531500</v>
          </cell>
        </row>
        <row r="378">
          <cell r="F378" t="str">
            <v>Pipa PVC AW ; DN.10" (250 mm) + fitting &amp; aksesoris</v>
          </cell>
          <cell r="G378" t="str">
            <v>m'</v>
          </cell>
          <cell r="H378">
            <v>821700</v>
          </cell>
        </row>
        <row r="379">
          <cell r="F379" t="str">
            <v>Pipa PVC AW Ø 1-1/2"</v>
          </cell>
          <cell r="G379" t="str">
            <v>m'</v>
          </cell>
          <cell r="H379">
            <v>33800</v>
          </cell>
        </row>
        <row r="380">
          <cell r="F380" t="str">
            <v>Pipa PVC AW Ø 1-1/4"</v>
          </cell>
          <cell r="G380" t="str">
            <v>m'</v>
          </cell>
          <cell r="H380">
            <v>29400</v>
          </cell>
        </row>
        <row r="381">
          <cell r="F381" t="str">
            <v>Pipa PVC AW Ø 1"</v>
          </cell>
          <cell r="G381" t="str">
            <v>m'</v>
          </cell>
          <cell r="H381">
            <v>22300</v>
          </cell>
        </row>
        <row r="382">
          <cell r="F382" t="str">
            <v>Pipa PVC AW Ø 1/2"</v>
          </cell>
          <cell r="G382" t="str">
            <v>batang</v>
          </cell>
          <cell r="H382">
            <v>50900</v>
          </cell>
        </row>
        <row r="383">
          <cell r="F383" t="str">
            <v>Pipa PVC AW Ø 1/2" (m)</v>
          </cell>
          <cell r="G383" t="str">
            <v>m'</v>
          </cell>
          <cell r="H383">
            <v>8800</v>
          </cell>
        </row>
        <row r="384">
          <cell r="F384" t="str">
            <v>Pipa PVC AW Ø 10"</v>
          </cell>
          <cell r="G384" t="str">
            <v>m'</v>
          </cell>
          <cell r="H384">
            <v>821700</v>
          </cell>
        </row>
        <row r="385">
          <cell r="F385" t="str">
            <v>Pipa PVC AW Ø 12"</v>
          </cell>
          <cell r="G385" t="str">
            <v>m'</v>
          </cell>
          <cell r="H385">
            <v>957900</v>
          </cell>
        </row>
        <row r="386">
          <cell r="F386" t="str">
            <v>Pipa PVC AW Ø 14"</v>
          </cell>
          <cell r="G386" t="str">
            <v>m'</v>
          </cell>
          <cell r="H386">
            <v>960700</v>
          </cell>
        </row>
        <row r="387">
          <cell r="F387" t="str">
            <v>Pipa PVC AW Ø 16"</v>
          </cell>
          <cell r="G387" t="str">
            <v>m'</v>
          </cell>
          <cell r="H387">
            <v>1046300</v>
          </cell>
        </row>
        <row r="388">
          <cell r="F388" t="str">
            <v>Pipa PVC AW Ø 2-1/2"</v>
          </cell>
          <cell r="G388" t="str">
            <v>m'</v>
          </cell>
          <cell r="H388">
            <v>61100</v>
          </cell>
        </row>
        <row r="389">
          <cell r="F389" t="str">
            <v>Pipa PVC AW Ø 2"</v>
          </cell>
          <cell r="G389" t="str">
            <v>m'</v>
          </cell>
          <cell r="H389">
            <v>43100</v>
          </cell>
        </row>
        <row r="390">
          <cell r="F390" t="str">
            <v>Pipa PVC AW Ø 3"</v>
          </cell>
          <cell r="G390" t="str">
            <v>m'</v>
          </cell>
          <cell r="H390">
            <v>88400</v>
          </cell>
        </row>
        <row r="391">
          <cell r="F391" t="str">
            <v>Pipa PVC AW Ø 3/4"</v>
          </cell>
          <cell r="G391" t="str">
            <v>batang</v>
          </cell>
          <cell r="H391">
            <v>63300</v>
          </cell>
        </row>
        <row r="392">
          <cell r="F392" t="str">
            <v>Pipa PVC AW Ø 3/4" (m)</v>
          </cell>
          <cell r="G392" t="str">
            <v>m'</v>
          </cell>
          <cell r="H392">
            <v>15900</v>
          </cell>
        </row>
        <row r="393">
          <cell r="F393" t="str">
            <v>Pipa PVC AW Ø 4"</v>
          </cell>
          <cell r="G393" t="str">
            <v>m'</v>
          </cell>
          <cell r="H393">
            <v>146700</v>
          </cell>
        </row>
        <row r="394">
          <cell r="F394" t="str">
            <v>Pipa PVC AW Ø 5"</v>
          </cell>
          <cell r="G394" t="str">
            <v>m'</v>
          </cell>
          <cell r="H394">
            <v>225900</v>
          </cell>
        </row>
        <row r="395">
          <cell r="F395" t="str">
            <v>Pipa PVC AW Ø 6"</v>
          </cell>
          <cell r="G395" t="str">
            <v>m'</v>
          </cell>
          <cell r="H395">
            <v>316800</v>
          </cell>
        </row>
        <row r="396">
          <cell r="F396" t="str">
            <v>Pipa PVC AW Ø 8"</v>
          </cell>
          <cell r="G396" t="str">
            <v>m'</v>
          </cell>
          <cell r="H396">
            <v>531500</v>
          </cell>
        </row>
        <row r="397">
          <cell r="F397" t="str">
            <v>Pipa PVC D ; DN. 1-1/2" (40 mm) + fitting &amp; aksesoris</v>
          </cell>
          <cell r="G397" t="str">
            <v>m'</v>
          </cell>
          <cell r="H397">
            <v>20300</v>
          </cell>
        </row>
        <row r="398">
          <cell r="F398" t="str">
            <v>Pipa PVC D ; DN. 1-1/4" (32 mm) + fitting &amp; aksesoris</v>
          </cell>
          <cell r="G398" t="str">
            <v>m'</v>
          </cell>
          <cell r="H398">
            <v>18100</v>
          </cell>
        </row>
        <row r="399">
          <cell r="F399" t="str">
            <v>Pipa PVC D ; DN. 2" (50 mm) + fitting &amp; aksesoris</v>
          </cell>
          <cell r="G399" t="str">
            <v>m'</v>
          </cell>
          <cell r="H399">
            <v>26700</v>
          </cell>
        </row>
        <row r="400">
          <cell r="F400" t="str">
            <v>Pipa PVC D ; DN. 4" (100 mm) + fitting &amp; aksesoris</v>
          </cell>
          <cell r="G400" t="str">
            <v>m'</v>
          </cell>
          <cell r="H400">
            <v>75200</v>
          </cell>
        </row>
        <row r="401">
          <cell r="F401" t="str">
            <v>Pipa PVC D ; DN. 5" (125 mm) + fitting &amp; aksesoris</v>
          </cell>
          <cell r="G401" t="str">
            <v>m'</v>
          </cell>
          <cell r="H401">
            <v>112700</v>
          </cell>
        </row>
        <row r="402">
          <cell r="F402" t="str">
            <v>Pipa PVC D ; DN. 6" (150 mm) + fitting &amp; aksesoris</v>
          </cell>
          <cell r="G402" t="str">
            <v>m'</v>
          </cell>
          <cell r="H402">
            <v>149800</v>
          </cell>
        </row>
        <row r="403">
          <cell r="F403" t="str">
            <v>Pipa PVC D ; DN. 8" (200 mm) + fitting &amp; aksesoris</v>
          </cell>
          <cell r="G403" t="str">
            <v>m'</v>
          </cell>
          <cell r="H403">
            <v>261400</v>
          </cell>
        </row>
        <row r="404">
          <cell r="F404" t="str">
            <v>Pipa PVC D ; DN.10" (250 mm) + fitting &amp; aksesoris</v>
          </cell>
          <cell r="G404" t="str">
            <v>m'</v>
          </cell>
          <cell r="H404">
            <v>430600</v>
          </cell>
        </row>
        <row r="405">
          <cell r="F405" t="str">
            <v>Pipa PVC D ; DN.12" (300 mm) + fitting &amp; aksesoris</v>
          </cell>
          <cell r="G405" t="str">
            <v>m'</v>
          </cell>
          <cell r="H405">
            <v>604500</v>
          </cell>
        </row>
        <row r="406">
          <cell r="F406" t="str">
            <v>Pipa PVC D ; DN.14" (350 mm) + fitting &amp; aksesoris</v>
          </cell>
          <cell r="G406" t="str">
            <v>m'</v>
          </cell>
          <cell r="H406" t="str">
            <v>X</v>
          </cell>
        </row>
        <row r="407">
          <cell r="F407" t="str">
            <v>Pipa PVC D ; DN.16" (400 mm) + fitting &amp; aksesoris</v>
          </cell>
          <cell r="G407" t="str">
            <v>m'</v>
          </cell>
          <cell r="H407" t="str">
            <v>X</v>
          </cell>
        </row>
        <row r="408">
          <cell r="F408" t="str">
            <v>Pipa PVC D ; DN.2-1/2" (65 mm) + fitting &amp; aksesoris</v>
          </cell>
          <cell r="G408" t="str">
            <v>m'</v>
          </cell>
          <cell r="H408">
            <v>36100</v>
          </cell>
        </row>
        <row r="409">
          <cell r="F409" t="str">
            <v>Pipa PVC D ; DN.3" (80 mm) + fitting &amp; aksesoris</v>
          </cell>
          <cell r="G409" t="str">
            <v>m'</v>
          </cell>
          <cell r="H409">
            <v>47800</v>
          </cell>
        </row>
        <row r="410">
          <cell r="F410" t="str">
            <v>Pipa PVC D Ø 1-1/2"</v>
          </cell>
          <cell r="G410" t="str">
            <v>m'</v>
          </cell>
          <cell r="H410">
            <v>20300</v>
          </cell>
        </row>
        <row r="411">
          <cell r="F411" t="str">
            <v>Pipa PVC D Ø 1-1/4"</v>
          </cell>
          <cell r="G411" t="str">
            <v>m'</v>
          </cell>
          <cell r="H411">
            <v>18100</v>
          </cell>
        </row>
        <row r="412">
          <cell r="F412" t="str">
            <v>Pipa PVC D Ø 10"</v>
          </cell>
          <cell r="G412" t="str">
            <v>m'</v>
          </cell>
          <cell r="H412">
            <v>430600</v>
          </cell>
        </row>
        <row r="413">
          <cell r="F413" t="str">
            <v>Pipa PVC D Ø 12"</v>
          </cell>
          <cell r="G413" t="str">
            <v>m'</v>
          </cell>
          <cell r="H413">
            <v>604500</v>
          </cell>
        </row>
        <row r="414">
          <cell r="F414" t="str">
            <v>Pipa PVC D Ø 14"</v>
          </cell>
          <cell r="G414" t="str">
            <v>m'</v>
          </cell>
          <cell r="H414" t="str">
            <v>X</v>
          </cell>
        </row>
        <row r="415">
          <cell r="F415" t="str">
            <v>Pipa PVC D Ø 16"</v>
          </cell>
          <cell r="G415" t="str">
            <v>m'</v>
          </cell>
          <cell r="H415" t="str">
            <v>X</v>
          </cell>
        </row>
        <row r="416">
          <cell r="F416" t="str">
            <v>Pipa PVC D Ø 2-1/2"</v>
          </cell>
          <cell r="G416" t="str">
            <v>m'</v>
          </cell>
          <cell r="H416">
            <v>36100</v>
          </cell>
        </row>
        <row r="417">
          <cell r="F417" t="str">
            <v>Pipa PVC D Ø 2"</v>
          </cell>
          <cell r="G417" t="str">
            <v>m'</v>
          </cell>
          <cell r="H417">
            <v>26700</v>
          </cell>
        </row>
        <row r="418">
          <cell r="F418" t="str">
            <v>Pipa PVC D Ø 3"</v>
          </cell>
          <cell r="G418" t="str">
            <v>m'</v>
          </cell>
          <cell r="H418">
            <v>47800</v>
          </cell>
        </row>
        <row r="419">
          <cell r="F419" t="str">
            <v>Pipa PVC D Ø 4"</v>
          </cell>
          <cell r="G419" t="str">
            <v>m'</v>
          </cell>
          <cell r="H419">
            <v>75200</v>
          </cell>
        </row>
        <row r="420">
          <cell r="F420" t="str">
            <v>Pipa PVC D Ø 5"</v>
          </cell>
          <cell r="G420" t="str">
            <v>m'</v>
          </cell>
          <cell r="H420">
            <v>112700</v>
          </cell>
        </row>
        <row r="421">
          <cell r="F421" t="str">
            <v>Pipa PVC D Ø 6"</v>
          </cell>
          <cell r="G421" t="str">
            <v>m'</v>
          </cell>
          <cell r="H421">
            <v>149800</v>
          </cell>
        </row>
        <row r="422">
          <cell r="F422" t="str">
            <v>Pipa PVC D Ø 8"</v>
          </cell>
          <cell r="G422" t="str">
            <v>m'</v>
          </cell>
          <cell r="H422">
            <v>261400</v>
          </cell>
        </row>
        <row r="423">
          <cell r="F423" t="str">
            <v>Pipa PVC dia. 1"</v>
          </cell>
          <cell r="G423" t="str">
            <v>m'</v>
          </cell>
          <cell r="H423">
            <v>22300</v>
          </cell>
        </row>
        <row r="424">
          <cell r="F424" t="str">
            <v>Pipa PVC dia. 2"</v>
          </cell>
          <cell r="G424" t="str">
            <v>m'</v>
          </cell>
          <cell r="H424">
            <v>43100</v>
          </cell>
        </row>
        <row r="425">
          <cell r="F425" t="str">
            <v>Pipa PVC dia. 1000 mm</v>
          </cell>
          <cell r="G425" t="str">
            <v>m'</v>
          </cell>
          <cell r="H425">
            <v>4667900</v>
          </cell>
        </row>
        <row r="426">
          <cell r="F426" t="str">
            <v>Pipa PVC dia. 110 mm</v>
          </cell>
          <cell r="G426" t="str">
            <v>m'</v>
          </cell>
          <cell r="H426" t="str">
            <v>X</v>
          </cell>
        </row>
        <row r="427">
          <cell r="F427" t="str">
            <v>Pipa PVC dia. 1100 mm</v>
          </cell>
          <cell r="G427" t="str">
            <v>m'</v>
          </cell>
          <cell r="H427">
            <v>5254900</v>
          </cell>
        </row>
        <row r="428">
          <cell r="F428" t="str">
            <v>Pipa PVC dia. 1200 mm</v>
          </cell>
          <cell r="G428" t="str">
            <v>m'</v>
          </cell>
          <cell r="H428">
            <v>5816400</v>
          </cell>
        </row>
        <row r="429">
          <cell r="F429" t="str">
            <v>Pipa PVC dia. 15 mm</v>
          </cell>
          <cell r="G429" t="str">
            <v>m'</v>
          </cell>
          <cell r="H429">
            <v>8800</v>
          </cell>
        </row>
        <row r="430">
          <cell r="F430" t="str">
            <v>Pipa PVC dia. 20 mm</v>
          </cell>
          <cell r="G430" t="str">
            <v>m'</v>
          </cell>
          <cell r="H430">
            <v>8483.3333333333339</v>
          </cell>
        </row>
        <row r="431">
          <cell r="F431" t="str">
            <v>Pipa PVC dia. 25 mm</v>
          </cell>
          <cell r="G431" t="str">
            <v>m'</v>
          </cell>
          <cell r="H431">
            <v>10550</v>
          </cell>
        </row>
        <row r="432">
          <cell r="F432" t="str">
            <v>Pipa PVC dia. 32 mm</v>
          </cell>
          <cell r="G432" t="str">
            <v>m'</v>
          </cell>
          <cell r="H432">
            <v>14816.666666666666</v>
          </cell>
        </row>
        <row r="433">
          <cell r="F433" t="str">
            <v>Pipa PVC dia. 40 mm</v>
          </cell>
          <cell r="G433" t="str">
            <v>m'</v>
          </cell>
          <cell r="H433">
            <v>19600</v>
          </cell>
        </row>
        <row r="434">
          <cell r="F434" t="str">
            <v>Pipa PVC dia. 50 mm</v>
          </cell>
          <cell r="G434" t="str">
            <v>m'</v>
          </cell>
          <cell r="H434">
            <v>22500</v>
          </cell>
        </row>
        <row r="435">
          <cell r="F435" t="str">
            <v>Pipa PVC dia. 63 mm</v>
          </cell>
          <cell r="G435" t="str">
            <v>m'</v>
          </cell>
          <cell r="H435">
            <v>28716.666666666668</v>
          </cell>
        </row>
        <row r="436">
          <cell r="F436" t="str">
            <v>Pipa PVC dia. 90 mm</v>
          </cell>
          <cell r="G436" t="str">
            <v>m'</v>
          </cell>
          <cell r="H436">
            <v>40716.666666666664</v>
          </cell>
        </row>
        <row r="437">
          <cell r="F437" t="str">
            <v>Pipa PVC dia. 150 mm</v>
          </cell>
          <cell r="G437" t="str">
            <v>m'</v>
          </cell>
          <cell r="H437">
            <v>58916.666666666664</v>
          </cell>
        </row>
        <row r="438">
          <cell r="F438" t="str">
            <v>Pipa PVC dia. 200 mm</v>
          </cell>
          <cell r="G438" t="str">
            <v>m'</v>
          </cell>
          <cell r="H438">
            <v>211150</v>
          </cell>
        </row>
        <row r="439">
          <cell r="F439" t="str">
            <v>Pipa PVC dia. 250 mm</v>
          </cell>
          <cell r="G439" t="str">
            <v>m'</v>
          </cell>
          <cell r="H439">
            <v>354283.33333333331</v>
          </cell>
        </row>
        <row r="440">
          <cell r="F440" t="str">
            <v>Pipa PVC dia. 300 mm</v>
          </cell>
          <cell r="G440" t="str">
            <v>m'</v>
          </cell>
          <cell r="H440">
            <v>547750</v>
          </cell>
        </row>
        <row r="441">
          <cell r="F441" t="str">
            <v>Pipa PVC dia. 400 mm</v>
          </cell>
          <cell r="G441" t="str">
            <v>m'</v>
          </cell>
          <cell r="H441">
            <v>638550</v>
          </cell>
        </row>
        <row r="442">
          <cell r="F442" t="str">
            <v>Pipa PVC dia. 450 mm</v>
          </cell>
          <cell r="G442" t="str">
            <v>m'</v>
          </cell>
          <cell r="H442">
            <v>640433.33333333337</v>
          </cell>
        </row>
        <row r="443">
          <cell r="F443" t="str">
            <v>Pipa PVC dia. 500 mm</v>
          </cell>
          <cell r="G443" t="str">
            <v>m'</v>
          </cell>
          <cell r="H443">
            <v>1711883.3333333333</v>
          </cell>
        </row>
        <row r="444">
          <cell r="F444" t="str">
            <v>Pipa PVC dia. 600 mm</v>
          </cell>
          <cell r="G444" t="str">
            <v>m'</v>
          </cell>
          <cell r="H444">
            <v>1732350</v>
          </cell>
        </row>
        <row r="445">
          <cell r="F445" t="str">
            <v>Pipa PVC dia. 800 mm</v>
          </cell>
          <cell r="G445" t="str">
            <v>m'</v>
          </cell>
          <cell r="H445">
            <v>2553200</v>
          </cell>
        </row>
        <row r="446">
          <cell r="F446" t="str">
            <v>Pipa PVC dia. 900 mm</v>
          </cell>
          <cell r="G446" t="str">
            <v>m'</v>
          </cell>
          <cell r="H446">
            <v>2768416.6666666665</v>
          </cell>
        </row>
        <row r="447">
          <cell r="F447" t="str">
            <v>Pipa PVC, DN. 1-1/2" (40 mm)</v>
          </cell>
          <cell r="G447" t="str">
            <v>m'</v>
          </cell>
          <cell r="H447">
            <v>19600</v>
          </cell>
        </row>
        <row r="448">
          <cell r="F448" t="str">
            <v>Pipa PVC, DN. 1-1/4" (32 mm)</v>
          </cell>
          <cell r="G448" t="str">
            <v>m'</v>
          </cell>
          <cell r="H448">
            <v>14816.666666666666</v>
          </cell>
        </row>
        <row r="449">
          <cell r="F449" t="str">
            <v>Pipa PVC, DN. 1" (25 mm)</v>
          </cell>
          <cell r="G449" t="str">
            <v>m'</v>
          </cell>
          <cell r="H449">
            <v>10550</v>
          </cell>
        </row>
        <row r="450">
          <cell r="F450" t="str">
            <v>Pipa PVC, DN. 2" (50 mm)</v>
          </cell>
          <cell r="G450" t="str">
            <v>m'</v>
          </cell>
          <cell r="H450">
            <v>22500</v>
          </cell>
        </row>
        <row r="451">
          <cell r="F451" t="str">
            <v>Pipa PVC, DN. 2-1/2" (65 mm)</v>
          </cell>
          <cell r="G451" t="str">
            <v>m'</v>
          </cell>
          <cell r="H451">
            <v>28716.666666666668</v>
          </cell>
        </row>
        <row r="452">
          <cell r="F452" t="str">
            <v>Pipa PVC, DN. 3" (80 mm)</v>
          </cell>
          <cell r="G452" t="str">
            <v>m'</v>
          </cell>
          <cell r="H452">
            <v>40716.666666666664</v>
          </cell>
        </row>
        <row r="453">
          <cell r="F453" t="str">
            <v>Pipa PVC, DN. 4" (100 mm)</v>
          </cell>
          <cell r="G453" t="str">
            <v>m'</v>
          </cell>
          <cell r="H453">
            <v>40716.666666666664</v>
          </cell>
        </row>
        <row r="454">
          <cell r="F454" t="str">
            <v>Pipa PVC, DN. 6" (150 mm)</v>
          </cell>
          <cell r="G454" t="str">
            <v>m'</v>
          </cell>
          <cell r="H454">
            <v>58916.666666666664</v>
          </cell>
        </row>
        <row r="455">
          <cell r="F455" t="str">
            <v>Pipa PVC, DN. 8" (200 mm)</v>
          </cell>
          <cell r="G455" t="str">
            <v>m'</v>
          </cell>
          <cell r="H455">
            <v>211150</v>
          </cell>
        </row>
        <row r="456">
          <cell r="F456" t="str">
            <v>Pipa PVC, DN. 1/2" (15 mm)</v>
          </cell>
          <cell r="G456" t="str">
            <v>m'</v>
          </cell>
          <cell r="H456">
            <v>8800</v>
          </cell>
        </row>
        <row r="457">
          <cell r="F457" t="str">
            <v>Pipa PVC, DN. 10" (250 mm)</v>
          </cell>
          <cell r="G457" t="str">
            <v>m'</v>
          </cell>
          <cell r="H457">
            <v>354283.33333333331</v>
          </cell>
        </row>
        <row r="458">
          <cell r="F458" t="str">
            <v>Pipa PVC, DN. 12" (300 mm)</v>
          </cell>
          <cell r="G458" t="str">
            <v>m'</v>
          </cell>
          <cell r="H458">
            <v>547750</v>
          </cell>
        </row>
        <row r="459">
          <cell r="F459" t="str">
            <v>Pipa PVC, DN. 16" (400 mm)</v>
          </cell>
          <cell r="G459" t="str">
            <v>m'</v>
          </cell>
          <cell r="H459">
            <v>638550</v>
          </cell>
        </row>
        <row r="460">
          <cell r="F460" t="str">
            <v>Pipa PVC, DN. 18" (450 mm)</v>
          </cell>
          <cell r="G460" t="str">
            <v>m'</v>
          </cell>
          <cell r="H460">
            <v>640433.33333333337</v>
          </cell>
        </row>
        <row r="461">
          <cell r="F461" t="str">
            <v>Pipa PVC, DN. 20" (500 mm)</v>
          </cell>
          <cell r="G461" t="str">
            <v>m'</v>
          </cell>
          <cell r="H461">
            <v>1711883.3333333333</v>
          </cell>
        </row>
        <row r="462">
          <cell r="F462" t="str">
            <v>Pipa PVC, DN. 24" (600 mm)</v>
          </cell>
          <cell r="G462" t="str">
            <v>m'</v>
          </cell>
          <cell r="H462">
            <v>1732350</v>
          </cell>
        </row>
        <row r="463">
          <cell r="F463" t="str">
            <v>Pipa PVC, DN. 3/4" (20 mm)</v>
          </cell>
          <cell r="G463" t="str">
            <v>m'</v>
          </cell>
          <cell r="H463">
            <v>8483.3333333333339</v>
          </cell>
        </row>
        <row r="464">
          <cell r="F464" t="str">
            <v>Pipa PVC, DN. 32" (800 mm</v>
          </cell>
          <cell r="G464" t="str">
            <v>m'</v>
          </cell>
          <cell r="H464">
            <v>2553200</v>
          </cell>
        </row>
        <row r="465">
          <cell r="F465" t="str">
            <v>Pipa PVC, DN. 36" (900 mm)</v>
          </cell>
          <cell r="G465" t="str">
            <v>m'</v>
          </cell>
          <cell r="H465">
            <v>2768416.6666666665</v>
          </cell>
        </row>
        <row r="466">
          <cell r="F466" t="str">
            <v>Pipa PVC, DN. 40" (1000 mm)</v>
          </cell>
          <cell r="G466" t="str">
            <v>m'</v>
          </cell>
          <cell r="H466" t="str">
            <v>X</v>
          </cell>
        </row>
        <row r="467">
          <cell r="F467" t="str">
            <v>Pipa PVC, DN. 44" (1100 mm)</v>
          </cell>
          <cell r="G467" t="str">
            <v>m'</v>
          </cell>
          <cell r="H467" t="str">
            <v>X</v>
          </cell>
        </row>
        <row r="468">
          <cell r="F468" t="str">
            <v>Pipa PVC, DN. 48" (1200 mm)</v>
          </cell>
          <cell r="G468" t="str">
            <v>m'</v>
          </cell>
          <cell r="H468" t="str">
            <v>X</v>
          </cell>
        </row>
        <row r="469">
          <cell r="F469" t="str">
            <v>Pipa Tembaga B280 1-1/8"</v>
          </cell>
          <cell r="G469" t="str">
            <v>m'</v>
          </cell>
          <cell r="H469" t="str">
            <v>X</v>
          </cell>
        </row>
        <row r="470">
          <cell r="F470" t="str">
            <v>Pipa Tembaga B280 1-3/8"</v>
          </cell>
          <cell r="G470" t="str">
            <v>m'</v>
          </cell>
          <cell r="H470" t="str">
            <v>X</v>
          </cell>
        </row>
        <row r="471">
          <cell r="F471" t="str">
            <v>Pipa Tembaga B280 1-5/8"</v>
          </cell>
          <cell r="G471" t="str">
            <v>m'</v>
          </cell>
          <cell r="H471" t="str">
            <v>X</v>
          </cell>
        </row>
        <row r="472">
          <cell r="F472" t="str">
            <v>Pipa Tembaga B280 1"</v>
          </cell>
          <cell r="G472" t="str">
            <v>m'</v>
          </cell>
          <cell r="H472" t="str">
            <v>X</v>
          </cell>
        </row>
        <row r="473">
          <cell r="F473" t="str">
            <v>Pipa Tembaga B280 1/2"</v>
          </cell>
          <cell r="G473" t="str">
            <v>m'</v>
          </cell>
          <cell r="H473" t="str">
            <v>X</v>
          </cell>
        </row>
        <row r="474">
          <cell r="F474" t="str">
            <v>Pipa Tembaga B280 1/4"</v>
          </cell>
          <cell r="G474" t="str">
            <v>m'</v>
          </cell>
          <cell r="H474" t="str">
            <v>X</v>
          </cell>
        </row>
        <row r="475">
          <cell r="F475" t="str">
            <v>Pipa Tembaga B280 3/4"</v>
          </cell>
          <cell r="G475" t="str">
            <v>m'</v>
          </cell>
          <cell r="H475" t="str">
            <v>X</v>
          </cell>
        </row>
        <row r="476">
          <cell r="F476" t="str">
            <v>Pipa Tembaga B280 3/8"</v>
          </cell>
          <cell r="G476" t="str">
            <v>m'</v>
          </cell>
          <cell r="H476" t="str">
            <v>X</v>
          </cell>
        </row>
        <row r="477">
          <cell r="F477" t="str">
            <v>Pipa Tembaga B280 5/8"</v>
          </cell>
          <cell r="G477" t="str">
            <v>m'</v>
          </cell>
          <cell r="H477" t="str">
            <v>X</v>
          </cell>
        </row>
        <row r="478">
          <cell r="F478" t="str">
            <v>Pipa Tembaga B280 7/8"</v>
          </cell>
          <cell r="G478" t="str">
            <v>m'</v>
          </cell>
          <cell r="H478" t="str">
            <v>X</v>
          </cell>
        </row>
        <row r="479">
          <cell r="F479" t="str">
            <v>PRV SET dia. 100 mm dan aksesoris</v>
          </cell>
          <cell r="G479" t="str">
            <v xml:space="preserve">unit </v>
          </cell>
          <cell r="H479" t="str">
            <v>X</v>
          </cell>
        </row>
        <row r="480">
          <cell r="F480" t="str">
            <v>PRV SET dia. 150 mm dan aksesoris</v>
          </cell>
          <cell r="G480" t="str">
            <v xml:space="preserve">unit </v>
          </cell>
          <cell r="H480" t="str">
            <v>X</v>
          </cell>
        </row>
        <row r="481">
          <cell r="F481" t="str">
            <v>PRV SET dia. 200 mm dan aksesoris</v>
          </cell>
          <cell r="G481" t="str">
            <v xml:space="preserve">unit </v>
          </cell>
          <cell r="H481" t="str">
            <v>X</v>
          </cell>
        </row>
        <row r="482">
          <cell r="F482" t="str">
            <v>PRV SET dia. 50 mm dan aksesoris</v>
          </cell>
          <cell r="G482" t="str">
            <v xml:space="preserve">unit </v>
          </cell>
          <cell r="H482" t="str">
            <v>X</v>
          </cell>
        </row>
        <row r="483">
          <cell r="F483" t="str">
            <v>PRV SET dia. 65 mm dan aksesoris</v>
          </cell>
          <cell r="G483" t="str">
            <v xml:space="preserve">unit </v>
          </cell>
          <cell r="H483" t="str">
            <v>X</v>
          </cell>
        </row>
        <row r="484">
          <cell r="F484" t="str">
            <v>PRV SET dia. 80 mm dan aksesoris</v>
          </cell>
          <cell r="G484" t="str">
            <v xml:space="preserve">unit </v>
          </cell>
          <cell r="H484" t="str">
            <v>X</v>
          </cell>
        </row>
        <row r="485">
          <cell r="F485" t="str">
            <v>PVC  Ø 1/2"  s  10 tekanan nominal 10 bar (1,0 mpa) 4m</v>
          </cell>
          <cell r="G485" t="str">
            <v>batang</v>
          </cell>
          <cell r="H485" t="str">
            <v>X</v>
          </cell>
        </row>
        <row r="486">
          <cell r="F486" t="str">
            <v>PVC  Ø 3/4"  s  10 tekanan nominal 10 bar (1,0 mpa) 4m</v>
          </cell>
          <cell r="G486" t="str">
            <v>batang</v>
          </cell>
          <cell r="H486" t="str">
            <v>X</v>
          </cell>
        </row>
        <row r="487">
          <cell r="F487" t="str">
            <v>PVC  Ø 1"  s  10 tekanan nominal 10 bar (1,0 mpa) 4m</v>
          </cell>
          <cell r="G487" t="str">
            <v>batang</v>
          </cell>
          <cell r="H487" t="str">
            <v>X</v>
          </cell>
        </row>
        <row r="488">
          <cell r="F488" t="str">
            <v>PVC  Ø 1 1/4"  s  10 tekanan nominal 10 bar (1,0 mpa) 4m</v>
          </cell>
          <cell r="G488" t="str">
            <v>batang</v>
          </cell>
          <cell r="H488" t="str">
            <v>X</v>
          </cell>
        </row>
        <row r="489">
          <cell r="F489" t="str">
            <v>PVC  Ø 1 1/5"  s  10 tekanan nominal 10 bar (1,0 mpa) 6m</v>
          </cell>
          <cell r="G489" t="str">
            <v>batang</v>
          </cell>
          <cell r="H489" t="str">
            <v>X</v>
          </cell>
        </row>
        <row r="490">
          <cell r="F490" t="str">
            <v>PVC  Ø 2"  s  12,5 tekanan nominal 10 bar (1,0 mpa) 6m</v>
          </cell>
          <cell r="G490" t="str">
            <v>batang</v>
          </cell>
          <cell r="H490" t="str">
            <v>X</v>
          </cell>
        </row>
        <row r="491">
          <cell r="F491" t="str">
            <v>PVC  Ø 3"  s  12,5 tekanan nominal 10 bar (1,0 mpa) 6m</v>
          </cell>
          <cell r="G491" t="str">
            <v>batang</v>
          </cell>
          <cell r="H491" t="str">
            <v>X</v>
          </cell>
        </row>
        <row r="492">
          <cell r="F492" t="str">
            <v>PVC  Ø 4"  s  12,5 tekanan nominal 10 bar (1,0 mpa) 6m</v>
          </cell>
          <cell r="G492" t="str">
            <v>batang</v>
          </cell>
          <cell r="H492" t="str">
            <v>X</v>
          </cell>
        </row>
        <row r="493">
          <cell r="F493" t="str">
            <v>PVC  Ø 6"  s  12,5 tekanan nominal 10 bar (1,0 mpa) 6m</v>
          </cell>
          <cell r="G493" t="str">
            <v>batang</v>
          </cell>
          <cell r="H493" t="str">
            <v>X</v>
          </cell>
        </row>
        <row r="494">
          <cell r="F494" t="str">
            <v>PVC  Ø 8"  s  12,5 tekanan nominal 10 bar (1,0 mpa) 6m</v>
          </cell>
          <cell r="G494" t="str">
            <v>batang</v>
          </cell>
          <cell r="H494" t="str">
            <v>X</v>
          </cell>
        </row>
        <row r="495">
          <cell r="F495" t="str">
            <v xml:space="preserve">Siamesse Connection dan Aksesoris </v>
          </cell>
          <cell r="G495" t="str">
            <v xml:space="preserve">unit </v>
          </cell>
          <cell r="H495" t="str">
            <v>X</v>
          </cell>
        </row>
        <row r="496">
          <cell r="F496" t="str">
            <v xml:space="preserve">Sigh Glass </v>
          </cell>
          <cell r="G496" t="str">
            <v xml:space="preserve">buah </v>
          </cell>
          <cell r="H496" t="str">
            <v>X</v>
          </cell>
        </row>
        <row r="497">
          <cell r="F497" t="str">
            <v xml:space="preserve">Sprinkler Head Pendant dan Aksesoris </v>
          </cell>
          <cell r="G497" t="str">
            <v xml:space="preserve">unit </v>
          </cell>
          <cell r="H497" t="str">
            <v>X</v>
          </cell>
        </row>
        <row r="498">
          <cell r="F498" t="str">
            <v xml:space="preserve">Sprinkler Head Upright dan Aksesoris </v>
          </cell>
          <cell r="G498" t="str">
            <v xml:space="preserve">unit </v>
          </cell>
          <cell r="H498" t="str">
            <v>X</v>
          </cell>
        </row>
        <row r="499">
          <cell r="F499" t="str">
            <v xml:space="preserve">Temper Switch </v>
          </cell>
          <cell r="G499" t="str">
            <v xml:space="preserve">buah </v>
          </cell>
          <cell r="H499" t="str">
            <v>X</v>
          </cell>
        </row>
        <row r="500">
          <cell r="F500" t="str">
            <v xml:space="preserve">Test Drain Valve </v>
          </cell>
          <cell r="G500" t="str">
            <v xml:space="preserve">buah </v>
          </cell>
          <cell r="H500" t="str">
            <v>X</v>
          </cell>
        </row>
        <row r="501">
          <cell r="F501" t="str">
            <v>MATERIAL PIPA GALVANIS</v>
          </cell>
        </row>
        <row r="502">
          <cell r="F502" t="str">
            <v>Assesoris  galvanis</v>
          </cell>
          <cell r="G502" t="str">
            <v>m'</v>
          </cell>
          <cell r="H502" t="str">
            <v>X</v>
          </cell>
        </row>
        <row r="503">
          <cell r="F503" t="str">
            <v>Pipa  galvanis medium B Ø  1  1/2" panjang  6  m</v>
          </cell>
          <cell r="G503" t="str">
            <v>batang</v>
          </cell>
          <cell r="H503">
            <v>359600</v>
          </cell>
        </row>
        <row r="504">
          <cell r="F504" t="str">
            <v>Pipa  galvanis medium B Ø  1" panjang  6  m</v>
          </cell>
          <cell r="G504" t="str">
            <v>batang</v>
          </cell>
          <cell r="H504">
            <v>266600</v>
          </cell>
        </row>
        <row r="505">
          <cell r="F505" t="str">
            <v>Pipa  galvanis medium B Ø  1/2" panjang  6  m</v>
          </cell>
          <cell r="G505" t="str">
            <v>m'</v>
          </cell>
          <cell r="H505">
            <v>42000</v>
          </cell>
        </row>
        <row r="506">
          <cell r="F506" t="str">
            <v>Pipa  galvanis medium B Ø  2  1/2" panjang  6  m</v>
          </cell>
          <cell r="G506" t="str">
            <v>batang</v>
          </cell>
          <cell r="H506">
            <v>722300</v>
          </cell>
        </row>
        <row r="507">
          <cell r="F507" t="str">
            <v>Pipa  galvanis medium B Ø  3" panjang  6  m</v>
          </cell>
          <cell r="G507" t="str">
            <v>batang</v>
          </cell>
          <cell r="H507">
            <v>237700</v>
          </cell>
        </row>
        <row r="508">
          <cell r="F508" t="str">
            <v>Pipa  galvanis medium B Ø  3/4" panjang  6  m</v>
          </cell>
          <cell r="G508" t="str">
            <v>batang</v>
          </cell>
          <cell r="H508">
            <v>262100</v>
          </cell>
        </row>
        <row r="509">
          <cell r="F509" t="str">
            <v>Pipa  galvanis medium B Ø  4" panjang  6  m</v>
          </cell>
          <cell r="G509" t="str">
            <v>batang</v>
          </cell>
          <cell r="H509">
            <v>1426600</v>
          </cell>
        </row>
        <row r="510">
          <cell r="F510" t="str">
            <v>Pipa besi stainless  steel Ø1"  t=1.5 mm</v>
          </cell>
          <cell r="G510" t="str">
            <v>m'</v>
          </cell>
          <cell r="H510" t="str">
            <v>X</v>
          </cell>
        </row>
        <row r="511">
          <cell r="F511" t="str">
            <v>Pipa besi stainless  steel Ø2"  t=1.5 mm</v>
          </cell>
          <cell r="G511" t="str">
            <v>m'</v>
          </cell>
          <cell r="H511" t="str">
            <v>X</v>
          </cell>
        </row>
        <row r="512">
          <cell r="F512" t="str">
            <v>Pipa galvanis  medium A Ø 1 1/2"  panjang 6 m</v>
          </cell>
          <cell r="G512" t="str">
            <v>batang</v>
          </cell>
          <cell r="H512">
            <v>658100</v>
          </cell>
        </row>
        <row r="513">
          <cell r="F513" t="str">
            <v>Pipa galvanis  medium A Ø 1"  panjang 6 m</v>
          </cell>
          <cell r="G513" t="str">
            <v>batang</v>
          </cell>
          <cell r="H513">
            <v>493900</v>
          </cell>
        </row>
        <row r="514">
          <cell r="F514" t="str">
            <v>Pipa galvanis  medium A Ø 1/2"  panjang 6 m</v>
          </cell>
          <cell r="G514" t="str">
            <v>batang</v>
          </cell>
          <cell r="H514">
            <v>250500</v>
          </cell>
        </row>
        <row r="515">
          <cell r="F515" t="str">
            <v>Pipa galvanis  medium A Ø 2"  panjang 6 m</v>
          </cell>
          <cell r="G515" t="str">
            <v>batang</v>
          </cell>
          <cell r="H515">
            <v>901400</v>
          </cell>
        </row>
        <row r="516">
          <cell r="F516" t="str">
            <v>Pipa galvanis  medium A Ø 3"  panjang 6 m</v>
          </cell>
          <cell r="G516" t="str">
            <v>batang</v>
          </cell>
          <cell r="H516">
            <v>1392900</v>
          </cell>
        </row>
        <row r="517">
          <cell r="F517" t="str">
            <v>Pipa galvanis  medium A Ø 3/4"  panjang 6 m</v>
          </cell>
          <cell r="G517" t="str">
            <v>batang</v>
          </cell>
          <cell r="H517">
            <v>314600</v>
          </cell>
        </row>
        <row r="518">
          <cell r="F518" t="str">
            <v>Pipa galvanis  medium A Ø 4"  panjang 6 m</v>
          </cell>
          <cell r="G518" t="str">
            <v>batang</v>
          </cell>
          <cell r="H518">
            <v>2349400</v>
          </cell>
        </row>
        <row r="519">
          <cell r="F519" t="str">
            <v>Pipa galvanis  medium A Ø 5"  panjang 6 m</v>
          </cell>
          <cell r="G519" t="str">
            <v>batang</v>
          </cell>
          <cell r="H519">
            <v>2871400</v>
          </cell>
        </row>
        <row r="520">
          <cell r="F520" t="str">
            <v>Pipa galvanis  medium A Ø 6"  panjang 6 m</v>
          </cell>
          <cell r="G520" t="str">
            <v>batang</v>
          </cell>
          <cell r="H520">
            <v>3325900</v>
          </cell>
        </row>
        <row r="521">
          <cell r="F521" t="str">
            <v>Pipa galvanis  medium A Ø 8"  panjang 6 m</v>
          </cell>
          <cell r="G521" t="str">
            <v>batang</v>
          </cell>
          <cell r="H521">
            <v>5893700</v>
          </cell>
        </row>
        <row r="522">
          <cell r="F522" t="str">
            <v>Pipa galvanis  medium B  Ø 2"  panjang 6 m</v>
          </cell>
          <cell r="G522" t="str">
            <v>batang</v>
          </cell>
          <cell r="H522">
            <v>659600</v>
          </cell>
        </row>
        <row r="523">
          <cell r="F523" t="str">
            <v>Pipa galvanis  medium B  Ø 5"  panjang 6 m</v>
          </cell>
          <cell r="G523" t="str">
            <v>batang</v>
          </cell>
          <cell r="H523">
            <v>2777900</v>
          </cell>
        </row>
        <row r="524">
          <cell r="F524" t="str">
            <v>Pipa galvanis  medium B  Ø 6"  panjang 6 m</v>
          </cell>
          <cell r="G524" t="str">
            <v>batang</v>
          </cell>
          <cell r="H524">
            <v>3306300</v>
          </cell>
        </row>
        <row r="525">
          <cell r="F525" t="str">
            <v>Pipa galvanis  medium B  Ø 8"  panjang 6 m</v>
          </cell>
          <cell r="G525" t="str">
            <v>batang</v>
          </cell>
          <cell r="H525">
            <v>5851200</v>
          </cell>
        </row>
        <row r="526">
          <cell r="F526" t="str">
            <v xml:space="preserve">Pipa galvanis  medium Class  Ø 1 1/2" +Aksesoris </v>
          </cell>
          <cell r="G526" t="str">
            <v>m'</v>
          </cell>
          <cell r="H526">
            <v>60000</v>
          </cell>
        </row>
        <row r="527">
          <cell r="F527" t="str">
            <v>Pipa galvanis MED CLASS ; DN. 1-1/2" (40 mm) + fitting &amp; aksesoris</v>
          </cell>
          <cell r="G527" t="str">
            <v>m'</v>
          </cell>
          <cell r="H527">
            <v>60000</v>
          </cell>
        </row>
        <row r="528">
          <cell r="F528" t="str">
            <v xml:space="preserve">Pipa galvanis  medium Class  Ø 1 1/4" +Aksesoris </v>
          </cell>
          <cell r="G528" t="str">
            <v>m'</v>
          </cell>
          <cell r="H528">
            <v>57000</v>
          </cell>
        </row>
        <row r="529">
          <cell r="F529" t="str">
            <v>Pipa galvanis MED CLASS ; DN. 1-1/4" (32 mm) + fitting &amp; aksesoris</v>
          </cell>
          <cell r="G529" t="str">
            <v>m'</v>
          </cell>
          <cell r="H529">
            <v>57000</v>
          </cell>
        </row>
        <row r="530">
          <cell r="F530" t="str">
            <v>Pipa galvanis  medium Class Ø 1" + Aksesoris</v>
          </cell>
          <cell r="G530" t="str">
            <v>m'</v>
          </cell>
          <cell r="H530">
            <v>44500</v>
          </cell>
        </row>
        <row r="531">
          <cell r="F531" t="str">
            <v>Pipa galvanis MED CLASS ; DN. 1" (25 mm) + fitting &amp; aksesoris</v>
          </cell>
          <cell r="G531" t="str">
            <v>m'</v>
          </cell>
          <cell r="H531">
            <v>44500</v>
          </cell>
        </row>
        <row r="532">
          <cell r="F532" t="str">
            <v>Pipa galvanis  medium Class Ø 1/2" + Aksesoris</v>
          </cell>
          <cell r="G532" t="str">
            <v>m'</v>
          </cell>
          <cell r="H532">
            <v>42000</v>
          </cell>
        </row>
        <row r="533">
          <cell r="F533" t="str">
            <v>Pipa galvanis MED CLASS ; DN. 1/2" (15 mm) + fitting &amp; aksesoris</v>
          </cell>
          <cell r="G533" t="str">
            <v>m'</v>
          </cell>
          <cell r="H533">
            <v>42000</v>
          </cell>
        </row>
        <row r="534">
          <cell r="F534" t="str">
            <v xml:space="preserve">Pipa galvanis  medium Class Ø 2" +Aksesoris </v>
          </cell>
          <cell r="G534" t="str">
            <v>m'</v>
          </cell>
          <cell r="H534">
            <v>110000</v>
          </cell>
        </row>
        <row r="535">
          <cell r="F535" t="str">
            <v>Pipa galvanis MED CLASS ; DN. 2" (50 mm) + fitting &amp; aksesoris</v>
          </cell>
          <cell r="G535" t="str">
            <v>m'</v>
          </cell>
          <cell r="H535">
            <v>110000</v>
          </cell>
        </row>
        <row r="536">
          <cell r="F536" t="str">
            <v xml:space="preserve">Pipa galvanis  medium Class Ø 2-1/2" +Aksesoris </v>
          </cell>
          <cell r="G536" t="str">
            <v>m'</v>
          </cell>
          <cell r="H536">
            <v>120500</v>
          </cell>
        </row>
        <row r="537">
          <cell r="F537" t="str">
            <v>Pipa galvanis MED CLASS ; DN. 2-1/2" (65 mm) + fitting &amp; aksesoris</v>
          </cell>
          <cell r="G537" t="str">
            <v>m'</v>
          </cell>
          <cell r="H537">
            <v>120500</v>
          </cell>
        </row>
        <row r="538">
          <cell r="F538" t="str">
            <v xml:space="preserve">Pipa galvanis  medium Class Ø 3" +Aksesoris </v>
          </cell>
          <cell r="G538" t="str">
            <v>m'</v>
          </cell>
          <cell r="H538">
            <v>237700</v>
          </cell>
        </row>
        <row r="539">
          <cell r="F539" t="str">
            <v>Pipa galvanis MED CLASS ; DN. 3" (80 mm) + fitting &amp; aksesoris</v>
          </cell>
          <cell r="G539" t="str">
            <v>m'</v>
          </cell>
          <cell r="H539">
            <v>237700</v>
          </cell>
        </row>
        <row r="540">
          <cell r="F540" t="str">
            <v xml:space="preserve">Pipa galvanis  medium Class Ø 3/4" + Aksesoris </v>
          </cell>
          <cell r="G540" t="str">
            <v>m'</v>
          </cell>
          <cell r="H540">
            <v>43800</v>
          </cell>
        </row>
        <row r="541">
          <cell r="F541" t="str">
            <v>Pipa galvanis MED CLASS ; DN. 3/4" (20 mm) + fitting &amp; aksesoris</v>
          </cell>
          <cell r="G541" t="str">
            <v>m'</v>
          </cell>
          <cell r="H541">
            <v>43800</v>
          </cell>
        </row>
        <row r="542">
          <cell r="F542" t="str">
            <v xml:space="preserve">Pipa galvanis  medium Class Ø 4" +Aksesoris </v>
          </cell>
          <cell r="G542" t="str">
            <v>m'</v>
          </cell>
          <cell r="H542">
            <v>237900</v>
          </cell>
        </row>
        <row r="543">
          <cell r="F543" t="str">
            <v>Pipa galvanis MED CLASS ; DN. 4" (100 mm) + fitting &amp; aksesoris</v>
          </cell>
          <cell r="G543" t="str">
            <v>m'</v>
          </cell>
          <cell r="H543">
            <v>237900</v>
          </cell>
        </row>
        <row r="544">
          <cell r="F544" t="str">
            <v xml:space="preserve">Pipa galvanis  medium Class Ø 5" +Aksesoris </v>
          </cell>
          <cell r="G544" t="str">
            <v>m'</v>
          </cell>
          <cell r="H544">
            <v>463100</v>
          </cell>
        </row>
        <row r="545">
          <cell r="F545" t="str">
            <v>Pipa galvanis MED CLASS ; DN. 5" (125 mm) + fitting &amp; aksesoris</v>
          </cell>
          <cell r="G545" t="str">
            <v>m'</v>
          </cell>
          <cell r="H545">
            <v>463100</v>
          </cell>
        </row>
        <row r="546">
          <cell r="F546" t="str">
            <v xml:space="preserve">Pipa galvanis  medium Class Ø 6" + Aksesoris </v>
          </cell>
          <cell r="G546" t="str">
            <v>m'</v>
          </cell>
          <cell r="H546">
            <v>551200</v>
          </cell>
        </row>
        <row r="547">
          <cell r="F547" t="str">
            <v>Pipa galvanis MED CLASS ; DN. 6" (150 mm) + fitting &amp; aksesoris</v>
          </cell>
          <cell r="G547" t="str">
            <v>m'</v>
          </cell>
          <cell r="H547">
            <v>551200</v>
          </cell>
        </row>
        <row r="548">
          <cell r="F548" t="str">
            <v xml:space="preserve">Pipa galvanis  medium Class Ø 8" + Aksesois </v>
          </cell>
          <cell r="G548" t="str">
            <v>m'</v>
          </cell>
          <cell r="H548">
            <v>975200</v>
          </cell>
        </row>
        <row r="549">
          <cell r="F549" t="str">
            <v>Pipa galvanis MED CLASS ; DN. 8" (200 mm) + fitting &amp; aksesoris</v>
          </cell>
          <cell r="G549" t="str">
            <v>m'</v>
          </cell>
          <cell r="H549">
            <v>975200</v>
          </cell>
        </row>
        <row r="550">
          <cell r="F550" t="str">
            <v xml:space="preserve">Pipa galvanis  medium Class Ø 10" + Aksesois </v>
          </cell>
          <cell r="G550" t="str">
            <v>m'</v>
          </cell>
          <cell r="H550">
            <v>1140900</v>
          </cell>
        </row>
        <row r="551">
          <cell r="F551" t="str">
            <v>Pipa galvanis MED CLASS ; DN. 10" (250 mm) + fitting &amp; aksesoris</v>
          </cell>
          <cell r="G551" t="str">
            <v>m'</v>
          </cell>
          <cell r="H551">
            <v>1140900</v>
          </cell>
        </row>
        <row r="552">
          <cell r="F552" t="str">
            <v xml:space="preserve">Pipa galvanis  medium Class Ø 12" + Aksesois </v>
          </cell>
          <cell r="G552" t="str">
            <v>m'</v>
          </cell>
          <cell r="H552">
            <v>1337500</v>
          </cell>
        </row>
        <row r="553">
          <cell r="F553" t="str">
            <v>Pipa galvanis MED CLASS ; DN. 12" (300 mm) + fitting &amp; aksesoris</v>
          </cell>
          <cell r="G553" t="str">
            <v>m'</v>
          </cell>
          <cell r="H553">
            <v>1337500</v>
          </cell>
        </row>
        <row r="554">
          <cell r="F554" t="str">
            <v xml:space="preserve">Pipa galvanis  medium Class Ø 14" + Aksesois </v>
          </cell>
          <cell r="G554" t="str">
            <v>m'</v>
          </cell>
          <cell r="H554">
            <v>1884800</v>
          </cell>
        </row>
        <row r="555">
          <cell r="F555" t="str">
            <v>Pipa galvanis MED CLASS ; DN. 14" (350 mm) + fitting &amp; aksesoris</v>
          </cell>
          <cell r="G555" t="str">
            <v>m'</v>
          </cell>
          <cell r="H555">
            <v>1884800</v>
          </cell>
        </row>
        <row r="556">
          <cell r="F556" t="str">
            <v xml:space="preserve">Pipa galvanis  medium Class Ø 16" + Aksesois </v>
          </cell>
          <cell r="G556" t="str">
            <v>m'</v>
          </cell>
          <cell r="H556" t="str">
            <v>X</v>
          </cell>
        </row>
        <row r="557">
          <cell r="F557" t="str">
            <v>Pipa galvanis MED CLASS ; DN. 16" (400 mm) + fitting &amp; aksesoris</v>
          </cell>
          <cell r="G557" t="str">
            <v>m'</v>
          </cell>
          <cell r="H557" t="str">
            <v>X</v>
          </cell>
        </row>
        <row r="558">
          <cell r="F558" t="str">
            <v xml:space="preserve">Pipa galvanis SCH 40 Ø 1/2" + Aksesois </v>
          </cell>
          <cell r="G558" t="str">
            <v>m'</v>
          </cell>
          <cell r="H558">
            <v>635800</v>
          </cell>
        </row>
        <row r="559">
          <cell r="F559" t="str">
            <v>Pipa galvanis SCH 40 ; DN. 1/2" (15 mm) + fitting &amp; aksesoris</v>
          </cell>
          <cell r="G559" t="str">
            <v>m'</v>
          </cell>
          <cell r="H559">
            <v>635800</v>
          </cell>
        </row>
        <row r="560">
          <cell r="F560" t="str">
            <v xml:space="preserve">Pipa galvanis SCH 40 Ø 3/4" + Aksesois </v>
          </cell>
          <cell r="G560" t="str">
            <v>m'</v>
          </cell>
          <cell r="H560" t="str">
            <v>X</v>
          </cell>
        </row>
        <row r="561">
          <cell r="F561" t="str">
            <v>Pipa galvanis SCH 40 ; DN. 3/4" (20 mm) + fitting &amp; aksesoris</v>
          </cell>
          <cell r="G561" t="str">
            <v>m'</v>
          </cell>
          <cell r="H561" t="str">
            <v>X</v>
          </cell>
        </row>
        <row r="562">
          <cell r="F562" t="str">
            <v xml:space="preserve">Pipa galvanis SCH 40 Ø 1" + Aksesois </v>
          </cell>
          <cell r="G562" t="str">
            <v>m'</v>
          </cell>
          <cell r="H562" t="str">
            <v>X</v>
          </cell>
        </row>
        <row r="563">
          <cell r="F563" t="str">
            <v>Pipa galvanis SCH 40 ; DN. 1" (25 mm) + fitting &amp; aksesoris</v>
          </cell>
          <cell r="G563" t="str">
            <v>m'</v>
          </cell>
          <cell r="H563" t="str">
            <v>X</v>
          </cell>
        </row>
        <row r="564">
          <cell r="F564" t="str">
            <v xml:space="preserve">Pipa galvanis SCH 40 Ø 1-1/4" + Aksesois </v>
          </cell>
          <cell r="G564" t="str">
            <v>m'</v>
          </cell>
          <cell r="H564">
            <v>867300</v>
          </cell>
        </row>
        <row r="565">
          <cell r="F565" t="str">
            <v>Pipa galvanis SCH 40 ; DN. 1-1/4" (32 mm) + fitting &amp; aksesoris</v>
          </cell>
          <cell r="G565" t="str">
            <v>m'</v>
          </cell>
          <cell r="H565">
            <v>867300</v>
          </cell>
        </row>
        <row r="566">
          <cell r="F566" t="str">
            <v xml:space="preserve">Pipa galvanis SCH 40 Ø 1-1/2" + Aksesois </v>
          </cell>
          <cell r="G566" t="str">
            <v>m'</v>
          </cell>
          <cell r="H566">
            <v>1076600</v>
          </cell>
        </row>
        <row r="567">
          <cell r="F567" t="str">
            <v>Pipa galvanis SCH 40 ; DN. 1-1/2" (40 mm) + fitting &amp; aksesoris</v>
          </cell>
          <cell r="G567" t="str">
            <v>m'</v>
          </cell>
          <cell r="H567">
            <v>1076600</v>
          </cell>
        </row>
        <row r="568">
          <cell r="F568" t="str">
            <v xml:space="preserve">Pipa galvanis SCH 40 Ø 2" + Aksesois </v>
          </cell>
          <cell r="G568" t="str">
            <v>m'</v>
          </cell>
          <cell r="H568">
            <v>1379300</v>
          </cell>
        </row>
        <row r="569">
          <cell r="F569" t="str">
            <v>Pipa galvanis SCH 40 ; DN. 2" (50 mm) + fitting &amp; aksesoris</v>
          </cell>
          <cell r="G569" t="str">
            <v>m'</v>
          </cell>
          <cell r="H569">
            <v>1379300</v>
          </cell>
        </row>
        <row r="570">
          <cell r="F570" t="str">
            <v xml:space="preserve">Pipa galvanis SCH 40 Ø 2-1/2" + Aksesois </v>
          </cell>
          <cell r="G570" t="str">
            <v>m'</v>
          </cell>
          <cell r="H570">
            <v>2160600</v>
          </cell>
        </row>
        <row r="571">
          <cell r="F571" t="str">
            <v>Pipa galvanis SCH 40 ; DN. 2-1/2" (65 mm) + fitting &amp; aksesoris</v>
          </cell>
          <cell r="G571" t="str">
            <v>m'</v>
          </cell>
          <cell r="H571">
            <v>2160600</v>
          </cell>
        </row>
        <row r="572">
          <cell r="F572" t="str">
            <v xml:space="preserve">Pipa galvanis SCH 40 Ø 3" + Aksesois </v>
          </cell>
          <cell r="G572" t="str">
            <v>m'</v>
          </cell>
          <cell r="H572">
            <v>2706700</v>
          </cell>
        </row>
        <row r="573">
          <cell r="F573" t="str">
            <v>Pipa galvanis SCH 40 ; DN. 3" (80 mm) + fitting &amp; aksesoris</v>
          </cell>
          <cell r="G573" t="str">
            <v>m'</v>
          </cell>
          <cell r="H573">
            <v>2706700</v>
          </cell>
        </row>
        <row r="574">
          <cell r="F574" t="str">
            <v xml:space="preserve">Pipa galvanis SCH 40 Ø 4" + Aksesois </v>
          </cell>
          <cell r="G574" t="str">
            <v>m'</v>
          </cell>
          <cell r="H574">
            <v>3845200</v>
          </cell>
        </row>
        <row r="575">
          <cell r="F575" t="str">
            <v>Pipa galvanis SCH 40 ; DN. 4" (100 mm) + fitting &amp; aksesoris</v>
          </cell>
          <cell r="G575" t="str">
            <v>m'</v>
          </cell>
          <cell r="H575">
            <v>3845200</v>
          </cell>
        </row>
        <row r="576">
          <cell r="F576" t="str">
            <v xml:space="preserve">Pipa galvanis SCH 40 Ø 5" + Aksesois </v>
          </cell>
          <cell r="G576" t="str">
            <v>m'</v>
          </cell>
          <cell r="H576" t="str">
            <v>X</v>
          </cell>
        </row>
        <row r="577">
          <cell r="F577" t="str">
            <v>Pipa galvanis SCH 40 ; DN. 5" (125 mm) + fitting &amp; aksesoris</v>
          </cell>
          <cell r="G577" t="str">
            <v>m'</v>
          </cell>
          <cell r="H577" t="str">
            <v>X</v>
          </cell>
        </row>
        <row r="578">
          <cell r="F578" t="str">
            <v xml:space="preserve">Pipa galvanis SCH 40 Ø 6" + Aksesois </v>
          </cell>
          <cell r="G578" t="str">
            <v>m'</v>
          </cell>
          <cell r="H578">
            <v>6763800</v>
          </cell>
        </row>
        <row r="579">
          <cell r="F579" t="str">
            <v>Pipa galvanis SCH 40 ; DN. 6" (150 mm) + fitting &amp; aksesoris</v>
          </cell>
          <cell r="G579" t="str">
            <v>m'</v>
          </cell>
          <cell r="H579">
            <v>6763800</v>
          </cell>
        </row>
        <row r="580">
          <cell r="F580" t="str">
            <v xml:space="preserve">Pipa galvanis SCH 40 Ø 8" + Aksesois </v>
          </cell>
          <cell r="G580" t="str">
            <v>m'</v>
          </cell>
          <cell r="H580" t="str">
            <v>X</v>
          </cell>
        </row>
        <row r="581">
          <cell r="F581" t="str">
            <v>Pipa galvanis SCH 40 ; DN. 8" (200 mm) + fitting &amp; aksesoris</v>
          </cell>
          <cell r="G581" t="str">
            <v>m'</v>
          </cell>
          <cell r="H581" t="str">
            <v>X</v>
          </cell>
        </row>
        <row r="582">
          <cell r="F582" t="str">
            <v xml:space="preserve">Pipa galvanis SCH 40 Ø 10" + Aksesois </v>
          </cell>
          <cell r="G582" t="str">
            <v>m'</v>
          </cell>
          <cell r="H582" t="str">
            <v>X</v>
          </cell>
        </row>
        <row r="583">
          <cell r="F583" t="str">
            <v>Pipa galvanis SCH 40 ; DN. 10" (250 mm) + fitting &amp; aksesoris</v>
          </cell>
          <cell r="G583" t="str">
            <v>m'</v>
          </cell>
          <cell r="H583" t="str">
            <v>X</v>
          </cell>
        </row>
        <row r="584">
          <cell r="F584" t="str">
            <v xml:space="preserve">Pipa galvanis SCH 40 Ø 12" + Aksesois </v>
          </cell>
          <cell r="G584" t="str">
            <v>m'</v>
          </cell>
          <cell r="H584" t="str">
            <v>X</v>
          </cell>
        </row>
        <row r="585">
          <cell r="F585" t="str">
            <v>Pipa galvanis SCH 40 ; DN. 12" (300 mm) + fitting &amp; aksesoris</v>
          </cell>
          <cell r="G585" t="str">
            <v>m'</v>
          </cell>
          <cell r="H585" t="str">
            <v>X</v>
          </cell>
        </row>
        <row r="586">
          <cell r="F586" t="str">
            <v xml:space="preserve">Pipa galvanis SCH 40 Ø 14" + Aksesois </v>
          </cell>
          <cell r="G586" t="str">
            <v>m'</v>
          </cell>
          <cell r="H586" t="str">
            <v>X</v>
          </cell>
        </row>
        <row r="587">
          <cell r="F587" t="str">
            <v>Pipa galvanis SCH 40 ; DN. 14" (350 mm) + fitting &amp; aksesoris</v>
          </cell>
          <cell r="G587" t="str">
            <v>m'</v>
          </cell>
          <cell r="H587" t="str">
            <v>X</v>
          </cell>
        </row>
        <row r="588">
          <cell r="F588" t="str">
            <v xml:space="preserve">Pipa galvanis SCH 40 Ø 16" + Aksesois </v>
          </cell>
          <cell r="G588" t="str">
            <v>m'</v>
          </cell>
          <cell r="H588" t="str">
            <v>X</v>
          </cell>
        </row>
        <row r="589">
          <cell r="F589" t="str">
            <v>Pipa galvanis SCH 40 ; DN. 16" (400 mm) + fitting &amp; aksesoris</v>
          </cell>
          <cell r="G589" t="str">
            <v>m'</v>
          </cell>
          <cell r="H589" t="str">
            <v>X</v>
          </cell>
        </row>
        <row r="590">
          <cell r="F590" t="str">
            <v xml:space="preserve">Pipa PPR PN 10 Ø 1/2" + Aksesois </v>
          </cell>
          <cell r="G590" t="str">
            <v>m'</v>
          </cell>
          <cell r="H590" t="str">
            <v>X</v>
          </cell>
        </row>
        <row r="591">
          <cell r="F591" t="str">
            <v>Pipa PPR PN 10 ; DN. 1/2" (15 mm) + fitting &amp; aksesoris</v>
          </cell>
          <cell r="G591" t="str">
            <v>m'</v>
          </cell>
          <cell r="H591" t="str">
            <v>X</v>
          </cell>
        </row>
        <row r="592">
          <cell r="F592" t="str">
            <v xml:space="preserve">Pipa PPR PN 10 Ø 3/4" + Aksesois </v>
          </cell>
          <cell r="G592" t="str">
            <v>m'</v>
          </cell>
          <cell r="H592">
            <v>50400</v>
          </cell>
        </row>
        <row r="593">
          <cell r="F593" t="str">
            <v>Pipa PPR PN 10 ; DN. 3/4" (20 mm) + fitting &amp; aksesoris</v>
          </cell>
          <cell r="G593" t="str">
            <v>m'</v>
          </cell>
          <cell r="H593">
            <v>50400</v>
          </cell>
        </row>
        <row r="594">
          <cell r="F594" t="str">
            <v xml:space="preserve">Pipa PPR PN 10 Ø 1" + Aksesois </v>
          </cell>
          <cell r="G594" t="str">
            <v>m'</v>
          </cell>
          <cell r="H594" t="str">
            <v>X</v>
          </cell>
        </row>
        <row r="595">
          <cell r="F595" t="str">
            <v>Pipa PPR PN 10 ; DN. 1" (25 mm) + fitting &amp; aksesoris</v>
          </cell>
          <cell r="G595" t="str">
            <v>m'</v>
          </cell>
          <cell r="H595" t="str">
            <v>X</v>
          </cell>
        </row>
        <row r="596">
          <cell r="F596" t="str">
            <v xml:space="preserve">Pipa PPR PN 10 Ø 1-1/4" + Aksesois </v>
          </cell>
          <cell r="G596" t="str">
            <v>m'</v>
          </cell>
          <cell r="H596" t="str">
            <v>X</v>
          </cell>
        </row>
        <row r="597">
          <cell r="F597" t="str">
            <v>Pipa PPR PN 10 ; DN. 1-1/4" (32 mm) + fitting &amp; aksesoris</v>
          </cell>
          <cell r="G597" t="str">
            <v>m'</v>
          </cell>
          <cell r="H597">
            <v>126400</v>
          </cell>
        </row>
        <row r="598">
          <cell r="F598" t="str">
            <v xml:space="preserve">Pipa PPR PN 10 Ø 1-1/2" + Aksesois </v>
          </cell>
          <cell r="G598" t="str">
            <v>m'</v>
          </cell>
          <cell r="H598">
            <v>126400</v>
          </cell>
        </row>
        <row r="599">
          <cell r="F599" t="str">
            <v>Pipa PPR PN 10 ; DN. 1-1/2" (40 mm) + fitting &amp; aksesoris</v>
          </cell>
          <cell r="G599" t="str">
            <v>m'</v>
          </cell>
          <cell r="H599" t="str">
            <v>X</v>
          </cell>
        </row>
        <row r="600">
          <cell r="F600" t="str">
            <v xml:space="preserve">Pipa PPR PN 10 Ø 2" + Aksesois </v>
          </cell>
          <cell r="G600" t="str">
            <v>m'</v>
          </cell>
          <cell r="H600" t="str">
            <v>X</v>
          </cell>
        </row>
        <row r="601">
          <cell r="F601" t="str">
            <v>Pipa PPR PN 10 ; DN. 2" (50 mm) + fitting &amp; aksesoris</v>
          </cell>
          <cell r="G601" t="str">
            <v>m'</v>
          </cell>
          <cell r="H601" t="str">
            <v>X</v>
          </cell>
        </row>
        <row r="602">
          <cell r="F602" t="str">
            <v xml:space="preserve">Pipa PPR PN 10 Ø 2-1/2" + Aksesois </v>
          </cell>
          <cell r="G602" t="str">
            <v>m'</v>
          </cell>
          <cell r="H602" t="str">
            <v>X</v>
          </cell>
        </row>
        <row r="603">
          <cell r="F603" t="str">
            <v>Pipa PPR PN 10 ; DN. 2-1/2" (65 mm) + fitting &amp; aksesoris</v>
          </cell>
          <cell r="G603" t="str">
            <v>m'</v>
          </cell>
          <cell r="H603" t="str">
            <v>X</v>
          </cell>
        </row>
        <row r="604">
          <cell r="F604" t="str">
            <v xml:space="preserve">Pipa PPR PN 10 Ø 3" + Aksesois </v>
          </cell>
          <cell r="G604" t="str">
            <v>m'</v>
          </cell>
          <cell r="H604" t="str">
            <v>X</v>
          </cell>
        </row>
        <row r="605">
          <cell r="F605" t="str">
            <v>Pipa PPR PN 10 ; DN. 3" (80 mm) + fitting &amp; aksesoris</v>
          </cell>
          <cell r="G605" t="str">
            <v>m'</v>
          </cell>
          <cell r="H605" t="str">
            <v>X</v>
          </cell>
        </row>
        <row r="606">
          <cell r="F606" t="str">
            <v xml:space="preserve">Pipa PPR PN 10 Ø 4" + Aksesois </v>
          </cell>
          <cell r="G606" t="str">
            <v>m'</v>
          </cell>
          <cell r="H606" t="str">
            <v>X</v>
          </cell>
        </row>
        <row r="607">
          <cell r="F607" t="str">
            <v>Pipa PPR PN 10 ; DN. 4" (100 mm) + fitting &amp; aksesoris</v>
          </cell>
          <cell r="G607" t="str">
            <v>m'</v>
          </cell>
          <cell r="H607" t="str">
            <v>X</v>
          </cell>
        </row>
        <row r="608">
          <cell r="F608" t="str">
            <v xml:space="preserve">Pipa PPR PN 10 Ø 6" + Aksesois </v>
          </cell>
          <cell r="G608" t="str">
            <v>m'</v>
          </cell>
          <cell r="H608" t="str">
            <v>X</v>
          </cell>
        </row>
        <row r="609">
          <cell r="F609" t="str">
            <v>Pipa PPR PN 10 ; DN. 6" (150 mm) + fitting &amp; aksesoris</v>
          </cell>
          <cell r="G609" t="str">
            <v>m'</v>
          </cell>
          <cell r="H609" t="str">
            <v>X</v>
          </cell>
        </row>
        <row r="610">
          <cell r="F610" t="str">
            <v xml:space="preserve">Pipa PPR PN 20 Ø 1/2" + Aksesois </v>
          </cell>
          <cell r="G610" t="str">
            <v>m'</v>
          </cell>
          <cell r="H610" t="str">
            <v>X</v>
          </cell>
        </row>
        <row r="611">
          <cell r="F611" t="str">
            <v>Pipa PPR PN 20 ; DN. 1/2" (15 mm) + fitting &amp; aksesoris</v>
          </cell>
          <cell r="G611" t="str">
            <v>m'</v>
          </cell>
          <cell r="H611" t="str">
            <v>X</v>
          </cell>
        </row>
        <row r="612">
          <cell r="F612" t="str">
            <v xml:space="preserve">Pipa PPR PN 20 Ø 3/4" + Aksesois </v>
          </cell>
          <cell r="G612" t="str">
            <v>m'</v>
          </cell>
          <cell r="H612" t="str">
            <v>X</v>
          </cell>
        </row>
        <row r="613">
          <cell r="F613" t="str">
            <v>Pipa PPR PN 20 ; DN. 3/4" (20 mm) + fitting &amp; aksesoris</v>
          </cell>
          <cell r="G613" t="str">
            <v>m'</v>
          </cell>
          <cell r="H613" t="str">
            <v>X</v>
          </cell>
        </row>
        <row r="614">
          <cell r="F614" t="str">
            <v xml:space="preserve">Pipa PPR PN 20 Ø 1" + Aksesois </v>
          </cell>
          <cell r="G614" t="str">
            <v>m'</v>
          </cell>
          <cell r="H614" t="str">
            <v>X</v>
          </cell>
        </row>
        <row r="615">
          <cell r="F615" t="str">
            <v>Pipa PPR PN 20 ; DN. 1" (25 mm) + fitting &amp; aksesoris</v>
          </cell>
          <cell r="G615" t="str">
            <v>m'</v>
          </cell>
          <cell r="H615" t="str">
            <v>X</v>
          </cell>
        </row>
        <row r="616">
          <cell r="F616" t="str">
            <v xml:space="preserve">Pipa PPR PN 20 Ø 1-1/4" + Aksesois </v>
          </cell>
          <cell r="G616" t="str">
            <v>m'</v>
          </cell>
          <cell r="H616" t="str">
            <v>X</v>
          </cell>
        </row>
        <row r="617">
          <cell r="F617" t="str">
            <v>Pipa PPR PN 20 ; DN. 1-1/4" (32 mm) + fitting &amp; aksesoris</v>
          </cell>
          <cell r="G617" t="str">
            <v>m'</v>
          </cell>
          <cell r="H617" t="str">
            <v>X</v>
          </cell>
        </row>
        <row r="618">
          <cell r="F618" t="str">
            <v xml:space="preserve">Pipa PPR PN 20 Ø 1-1/2" + Aksesois </v>
          </cell>
          <cell r="G618" t="str">
            <v>m'</v>
          </cell>
          <cell r="H618" t="str">
            <v>X</v>
          </cell>
        </row>
        <row r="619">
          <cell r="F619" t="str">
            <v>Pipa PPR PN 20 ; DN. 1-1/2" (40 mm) + fitting &amp; aksesoris</v>
          </cell>
          <cell r="G619" t="str">
            <v>m'</v>
          </cell>
          <cell r="H619" t="str">
            <v>X</v>
          </cell>
        </row>
        <row r="620">
          <cell r="F620" t="str">
            <v xml:space="preserve">Pipa PPR PN 20 Ø 2" + Aksesois </v>
          </cell>
          <cell r="G620" t="str">
            <v>m'</v>
          </cell>
          <cell r="H620" t="str">
            <v>X</v>
          </cell>
        </row>
        <row r="621">
          <cell r="F621" t="str">
            <v>Pipa PPR PN 20 ; DN. 2" (50 mm) + fitting &amp; aksesoris</v>
          </cell>
          <cell r="G621" t="str">
            <v>m'</v>
          </cell>
          <cell r="H621" t="str">
            <v>X</v>
          </cell>
        </row>
        <row r="622">
          <cell r="F622" t="str">
            <v xml:space="preserve">Pipa PPR PN 20 Ø 2-1/2" + Aksesois </v>
          </cell>
          <cell r="G622" t="str">
            <v>m'</v>
          </cell>
          <cell r="H622" t="str">
            <v>X</v>
          </cell>
        </row>
        <row r="623">
          <cell r="F623" t="str">
            <v>Pipa PPR PN 20 ; DN. 2-1/2" (65 mm) + fitting &amp; aksesoris</v>
          </cell>
          <cell r="G623" t="str">
            <v>m'</v>
          </cell>
          <cell r="H623" t="str">
            <v>X</v>
          </cell>
        </row>
        <row r="624">
          <cell r="F624" t="str">
            <v xml:space="preserve">Pipa PPR PN 20 Ø 3" + Aksesois </v>
          </cell>
          <cell r="G624" t="str">
            <v>m'</v>
          </cell>
          <cell r="H624" t="str">
            <v>X</v>
          </cell>
        </row>
        <row r="625">
          <cell r="F625" t="str">
            <v>Pipa PPR PN 20 ; DN. 3" (80 mm) + fitting &amp; aksesoris</v>
          </cell>
          <cell r="G625" t="str">
            <v>m'</v>
          </cell>
          <cell r="H625" t="str">
            <v>X</v>
          </cell>
        </row>
        <row r="626">
          <cell r="F626" t="str">
            <v xml:space="preserve">Pipa PPR PN 20 Ø 4" + Aksesois </v>
          </cell>
          <cell r="G626" t="str">
            <v>m'</v>
          </cell>
          <cell r="H626" t="str">
            <v>X</v>
          </cell>
        </row>
        <row r="627">
          <cell r="F627" t="str">
            <v>Pipa PPR PN 20 ; DN. 4" (100 mm) + fitting &amp; aksesoris</v>
          </cell>
          <cell r="G627" t="str">
            <v>m'</v>
          </cell>
          <cell r="H627" t="str">
            <v>X</v>
          </cell>
        </row>
        <row r="628">
          <cell r="F628" t="str">
            <v xml:space="preserve">Pipa PPR PN 20 Ø 6" + Aksesois </v>
          </cell>
          <cell r="G628" t="str">
            <v>m'</v>
          </cell>
          <cell r="H628" t="str">
            <v>X</v>
          </cell>
        </row>
        <row r="629">
          <cell r="F629" t="str">
            <v>Pipa PPR PN 20 ; DN. 6" (150 mm) + fitting &amp; akseso</v>
          </cell>
          <cell r="G629" t="str">
            <v>m'</v>
          </cell>
          <cell r="H629" t="str">
            <v>X</v>
          </cell>
        </row>
        <row r="630">
          <cell r="F630" t="str">
            <v xml:space="preserve">Pipa BS Ø 1/2" + Aksesois </v>
          </cell>
          <cell r="G630" t="str">
            <v>m'</v>
          </cell>
          <cell r="H630" t="str">
            <v>X</v>
          </cell>
        </row>
        <row r="631">
          <cell r="F631" t="str">
            <v>Pipa BS MED CLASS ; DN. 1/2" (15 mm) + fitting &amp; aksesoris</v>
          </cell>
          <cell r="G631" t="str">
            <v>m'</v>
          </cell>
          <cell r="H631" t="str">
            <v>X</v>
          </cell>
        </row>
        <row r="632">
          <cell r="F632" t="str">
            <v xml:space="preserve">Pipa BS Ø 3/4" + Aksesois </v>
          </cell>
          <cell r="G632" t="str">
            <v>m'</v>
          </cell>
          <cell r="H632" t="str">
            <v>X</v>
          </cell>
        </row>
        <row r="633">
          <cell r="F633" t="str">
            <v>Pipa BS MED CLASS ; DN. 3/4" (20 mm) + fitting &amp; aksesoris</v>
          </cell>
          <cell r="G633" t="str">
            <v>m'</v>
          </cell>
          <cell r="H633" t="str">
            <v>X</v>
          </cell>
        </row>
        <row r="634">
          <cell r="F634" t="str">
            <v xml:space="preserve">Pipa BS Ø 1" + Aksesois </v>
          </cell>
          <cell r="G634" t="str">
            <v>m'</v>
          </cell>
          <cell r="H634" t="str">
            <v>X</v>
          </cell>
        </row>
        <row r="635">
          <cell r="F635" t="str">
            <v>Pipa BS MED CLASS ; DN. 1" (25 mm) + fitting &amp; aksesoris</v>
          </cell>
          <cell r="G635" t="str">
            <v>m'</v>
          </cell>
          <cell r="H635" t="str">
            <v>X</v>
          </cell>
        </row>
        <row r="636">
          <cell r="F636" t="str">
            <v xml:space="preserve">Pipa BS Ø 1-1/4" + Aksesois </v>
          </cell>
          <cell r="G636" t="str">
            <v>m'</v>
          </cell>
          <cell r="H636" t="str">
            <v>X</v>
          </cell>
        </row>
        <row r="637">
          <cell r="F637" t="str">
            <v>Pipa BS MED CLASS DN. 1-1/4" (32 mm) + fitting &amp; aksesoris</v>
          </cell>
          <cell r="G637" t="str">
            <v>m'</v>
          </cell>
          <cell r="H637" t="str">
            <v>X</v>
          </cell>
        </row>
        <row r="638">
          <cell r="F638" t="str">
            <v xml:space="preserve">Pipa BS Ø 1-1/2" + Aksesois </v>
          </cell>
          <cell r="G638" t="str">
            <v>m'</v>
          </cell>
          <cell r="H638" t="str">
            <v>X</v>
          </cell>
        </row>
        <row r="639">
          <cell r="F639" t="str">
            <v>Pipa BS MED CLASS DN. 1-1/2" (40 mm) + fitting &amp; aksesoris</v>
          </cell>
          <cell r="G639" t="str">
            <v>m'</v>
          </cell>
          <cell r="H639" t="str">
            <v>X</v>
          </cell>
        </row>
        <row r="640">
          <cell r="F640" t="str">
            <v xml:space="preserve">Pipa BS Ø 2" + Aksesois </v>
          </cell>
          <cell r="G640" t="str">
            <v>m'</v>
          </cell>
          <cell r="H640" t="str">
            <v>X</v>
          </cell>
        </row>
        <row r="641">
          <cell r="F641" t="str">
            <v>Pipa BS MED CLASS ; DN. 2" (50 mm) + fitting &amp; aksesoris</v>
          </cell>
          <cell r="G641" t="str">
            <v>m'</v>
          </cell>
          <cell r="H641" t="str">
            <v>X</v>
          </cell>
        </row>
        <row r="642">
          <cell r="F642" t="str">
            <v xml:space="preserve">Pipa BS Ø 2-1/2" + Aksesois </v>
          </cell>
          <cell r="G642" t="str">
            <v>m'</v>
          </cell>
          <cell r="H642" t="str">
            <v>X</v>
          </cell>
        </row>
        <row r="643">
          <cell r="F643" t="str">
            <v>Pipa BS MED CLASS DN. 2-1/2" (65 mm) + fitting &amp; aksesoris</v>
          </cell>
          <cell r="G643" t="str">
            <v>m'</v>
          </cell>
          <cell r="H643" t="str">
            <v>X</v>
          </cell>
        </row>
        <row r="644">
          <cell r="F644" t="str">
            <v xml:space="preserve">Pipa BS  Ø 3" + Aksesois </v>
          </cell>
          <cell r="G644" t="str">
            <v>m'</v>
          </cell>
          <cell r="H644" t="str">
            <v>X</v>
          </cell>
        </row>
        <row r="645">
          <cell r="F645" t="str">
            <v>Pipa BS MED CLASS ; DN. 3" (80 mm) + fitting &amp; aksesoris</v>
          </cell>
          <cell r="G645" t="str">
            <v>m'</v>
          </cell>
          <cell r="H645" t="str">
            <v>X</v>
          </cell>
        </row>
        <row r="646">
          <cell r="F646" t="str">
            <v xml:space="preserve">Pipa BS Ø 4" + Aksesois </v>
          </cell>
          <cell r="G646" t="str">
            <v>m'</v>
          </cell>
          <cell r="H646" t="str">
            <v>X</v>
          </cell>
        </row>
        <row r="647">
          <cell r="F647" t="str">
            <v>Pipa BS MED CLASS ; DN. 4" (100 mm) + fitting &amp; aksesoris</v>
          </cell>
          <cell r="G647" t="str">
            <v>m'</v>
          </cell>
          <cell r="H647" t="str">
            <v>X</v>
          </cell>
        </row>
        <row r="648">
          <cell r="F648" t="str">
            <v xml:space="preserve">Pipa BS Ø 5" + Aksesois </v>
          </cell>
          <cell r="G648" t="str">
            <v>m'</v>
          </cell>
          <cell r="H648" t="str">
            <v>X</v>
          </cell>
        </row>
        <row r="649">
          <cell r="F649" t="str">
            <v>Pipa BS MED CLASS ; DN. 5" (125 mm) + fitting &amp; aksesoris</v>
          </cell>
          <cell r="G649" t="str">
            <v>m'</v>
          </cell>
          <cell r="H649" t="str">
            <v>X</v>
          </cell>
        </row>
        <row r="650">
          <cell r="F650" t="str">
            <v xml:space="preserve">Pipa BS Ø 6" + Aksesois </v>
          </cell>
          <cell r="G650" t="str">
            <v>m'</v>
          </cell>
          <cell r="H650" t="str">
            <v>X</v>
          </cell>
        </row>
        <row r="651">
          <cell r="F651" t="str">
            <v>Pipa BS MED CLASS ; DN. 6" (150 mm) + fitting &amp; aksesoris</v>
          </cell>
          <cell r="G651" t="str">
            <v>m'</v>
          </cell>
          <cell r="H651" t="str">
            <v>X</v>
          </cell>
        </row>
        <row r="652">
          <cell r="F652" t="str">
            <v xml:space="preserve">Pipa BS Ø 8" + Aksesois </v>
          </cell>
          <cell r="G652" t="str">
            <v>m'</v>
          </cell>
          <cell r="H652" t="str">
            <v>X</v>
          </cell>
        </row>
        <row r="653">
          <cell r="F653" t="str">
            <v>Pipa BS MED CLASS ; DN. 8" (200 mm) + fitting &amp; aksesoris</v>
          </cell>
          <cell r="G653" t="str">
            <v>m'</v>
          </cell>
          <cell r="H653" t="str">
            <v>X</v>
          </cell>
        </row>
        <row r="654">
          <cell r="F654" t="str">
            <v>Pipa BS MED CLASS ; DN. 10" (250 mm) + fitting &amp; aksesoris</v>
          </cell>
          <cell r="G654" t="str">
            <v>m'</v>
          </cell>
          <cell r="H654" t="str">
            <v>X</v>
          </cell>
        </row>
        <row r="655">
          <cell r="F655" t="str">
            <v xml:space="preserve">Pipa BS Ø 10" + Aksesois </v>
          </cell>
          <cell r="G655" t="str">
            <v>m'</v>
          </cell>
          <cell r="H655" t="str">
            <v>X</v>
          </cell>
        </row>
        <row r="656">
          <cell r="F656" t="str">
            <v>Pipa BS MED CLASS ; DN. 12" (300 mm) + fitting &amp; aksesoris</v>
          </cell>
          <cell r="G656" t="str">
            <v>m'</v>
          </cell>
          <cell r="H656" t="str">
            <v>X</v>
          </cell>
        </row>
        <row r="657">
          <cell r="F657" t="str">
            <v xml:space="preserve">Pipa BS Ø 12" + Aksesois </v>
          </cell>
          <cell r="G657" t="str">
            <v>m'</v>
          </cell>
          <cell r="H657" t="str">
            <v>X</v>
          </cell>
        </row>
        <row r="658">
          <cell r="F658" t="str">
            <v>Pipa BS MED CLASS ; DN. 14" (350 mm) + fitting &amp; aksesoris</v>
          </cell>
          <cell r="G658" t="str">
            <v>m'</v>
          </cell>
          <cell r="H658" t="str">
            <v>X</v>
          </cell>
        </row>
        <row r="659">
          <cell r="F659" t="str">
            <v xml:space="preserve">Pipa BS Ø 14" + Aksesois </v>
          </cell>
          <cell r="G659" t="str">
            <v>m'</v>
          </cell>
          <cell r="H659" t="str">
            <v>X</v>
          </cell>
        </row>
        <row r="660">
          <cell r="F660" t="str">
            <v>Pipa BS MED CLASS ; DN. 16" (400 mm) + fitting &amp; aksesoris</v>
          </cell>
          <cell r="G660" t="str">
            <v>m'</v>
          </cell>
          <cell r="H660" t="str">
            <v>X</v>
          </cell>
        </row>
        <row r="661">
          <cell r="F661" t="str">
            <v xml:space="preserve">Pipa BS Ø 16" + Aksesois </v>
          </cell>
          <cell r="G661" t="str">
            <v>m'</v>
          </cell>
          <cell r="H661" t="str">
            <v>X</v>
          </cell>
        </row>
        <row r="662">
          <cell r="F662" t="str">
            <v>Pipa BS SCH 40 ; DN. 1/2" (15 mm) + fitting &amp; aksesoris</v>
          </cell>
          <cell r="G662" t="str">
            <v>m'</v>
          </cell>
          <cell r="H662" t="str">
            <v>X</v>
          </cell>
        </row>
        <row r="663">
          <cell r="F663" t="str">
            <v>Pipa BS SCH 40 ; DN. 3/4" (20 mm) + fitting &amp; aksesoris</v>
          </cell>
          <cell r="G663" t="str">
            <v>m'</v>
          </cell>
          <cell r="H663" t="str">
            <v>X</v>
          </cell>
        </row>
        <row r="664">
          <cell r="F664" t="str">
            <v>Pipa BS SCH 40 ; DN. 1-1/4" (32 mm) + fitting &amp; aksesoris</v>
          </cell>
          <cell r="G664" t="str">
            <v>m'</v>
          </cell>
          <cell r="H664" t="str">
            <v>X</v>
          </cell>
        </row>
        <row r="665">
          <cell r="F665" t="str">
            <v>Pipa BS SCH 40 ; DN. 1-1/2" (40 mm) + fitting &amp; aksesoris</v>
          </cell>
          <cell r="G665" t="str">
            <v>m'</v>
          </cell>
          <cell r="H665" t="str">
            <v>X</v>
          </cell>
        </row>
        <row r="666">
          <cell r="F666" t="str">
            <v>Pipa BS SCH 40 ; DN. 2" (50 mm) + fitting &amp; aksesoris</v>
          </cell>
          <cell r="G666" t="str">
            <v>m'</v>
          </cell>
          <cell r="H666" t="str">
            <v>X</v>
          </cell>
        </row>
        <row r="667">
          <cell r="F667" t="str">
            <v>Pipa BS SCH 40 ; DN. 2-1/2" (65 mm) + fitting &amp; aksesoris</v>
          </cell>
          <cell r="G667" t="str">
            <v>m'</v>
          </cell>
          <cell r="H667" t="str">
            <v>X</v>
          </cell>
        </row>
        <row r="668">
          <cell r="F668" t="str">
            <v>Pipa BS SCH 40 ; DN. 3" (80 mm) + fitting &amp; aksesoris</v>
          </cell>
          <cell r="G668" t="str">
            <v>m'</v>
          </cell>
          <cell r="H668" t="str">
            <v>X</v>
          </cell>
        </row>
        <row r="669">
          <cell r="F669" t="str">
            <v>Pipa BS SCH 40 ; DN. 4" (100 mm) + fitting &amp; aksesoris</v>
          </cell>
          <cell r="G669" t="str">
            <v>m'</v>
          </cell>
          <cell r="H669" t="str">
            <v>X</v>
          </cell>
        </row>
        <row r="670">
          <cell r="F670" t="str">
            <v>Pipa BS SCH 40 ; DN. 5" (125 mm) + fitting &amp; aksesoris</v>
          </cell>
          <cell r="G670" t="str">
            <v>m'</v>
          </cell>
          <cell r="H670" t="str">
            <v>X</v>
          </cell>
        </row>
        <row r="671">
          <cell r="F671" t="str">
            <v>Pipa BS SCH 40 ; DN. 6" (150 mm) + fitting &amp; aksesoris</v>
          </cell>
          <cell r="G671" t="str">
            <v>m'</v>
          </cell>
          <cell r="H671" t="str">
            <v>X</v>
          </cell>
        </row>
        <row r="672">
          <cell r="F672" t="str">
            <v>Pipa BS SCH 40 ; DN. 8" (200 mm) + fitting &amp; aksesoris</v>
          </cell>
          <cell r="G672" t="str">
            <v>m'</v>
          </cell>
          <cell r="H672" t="str">
            <v>X</v>
          </cell>
        </row>
        <row r="673">
          <cell r="F673" t="str">
            <v>Pipa BS SCH 40 ; DN. 10" (250 mm) + fitting &amp; aksesoris</v>
          </cell>
          <cell r="G673" t="str">
            <v>m'</v>
          </cell>
          <cell r="H673" t="str">
            <v>X</v>
          </cell>
        </row>
        <row r="674">
          <cell r="F674" t="str">
            <v>Pipa BS SCH 40 ; DN. 12" (300 mm) + fitting &amp; aksesoris</v>
          </cell>
          <cell r="G674" t="str">
            <v>m'</v>
          </cell>
          <cell r="H674" t="str">
            <v>X</v>
          </cell>
        </row>
        <row r="675">
          <cell r="F675" t="str">
            <v>Pipa BS SCH 40 ; DN. 14" (350 mm) + fitting &amp; aksesoris</v>
          </cell>
          <cell r="G675" t="str">
            <v>m'</v>
          </cell>
          <cell r="H675" t="str">
            <v>X</v>
          </cell>
        </row>
        <row r="676">
          <cell r="F676" t="str">
            <v>Pipa BS SCH 40 ; DN. 16" (400 mm) + fitting &amp; aksesoris</v>
          </cell>
          <cell r="G676" t="str">
            <v>m'</v>
          </cell>
          <cell r="H676" t="str">
            <v>X</v>
          </cell>
        </row>
        <row r="677">
          <cell r="F677" t="str">
            <v>Pipa Tanah, DN. 6" (150 mm</v>
          </cell>
          <cell r="G677" t="str">
            <v>m'</v>
          </cell>
          <cell r="H677">
            <v>142000</v>
          </cell>
        </row>
        <row r="678">
          <cell r="F678" t="str">
            <v>Pipa Tanah, DN. 8" (200 mm)</v>
          </cell>
          <cell r="G678" t="str">
            <v>m'</v>
          </cell>
          <cell r="H678">
            <v>148400</v>
          </cell>
        </row>
        <row r="679">
          <cell r="F679" t="str">
            <v>Gate Valve dia. 1/2"</v>
          </cell>
          <cell r="G679" t="str">
            <v xml:space="preserve">unit </v>
          </cell>
          <cell r="H679" t="str">
            <v>X</v>
          </cell>
        </row>
        <row r="680">
          <cell r="F680" t="str">
            <v>Gate Valve dia. 3/4"</v>
          </cell>
          <cell r="G680" t="str">
            <v xml:space="preserve">unit </v>
          </cell>
          <cell r="H680">
            <v>243300</v>
          </cell>
        </row>
        <row r="681">
          <cell r="F681" t="str">
            <v>Gate Valve dia. 1"</v>
          </cell>
          <cell r="G681" t="str">
            <v xml:space="preserve">unit </v>
          </cell>
          <cell r="H681">
            <v>366100</v>
          </cell>
        </row>
        <row r="682">
          <cell r="F682" t="str">
            <v>Gate Valve dia. 1-1/4"</v>
          </cell>
          <cell r="G682" t="str">
            <v xml:space="preserve">unit </v>
          </cell>
          <cell r="H682">
            <v>442700</v>
          </cell>
        </row>
        <row r="683">
          <cell r="F683" t="str">
            <v>Gate Valve dia. 1-1/2"</v>
          </cell>
          <cell r="G683" t="str">
            <v xml:space="preserve">unit </v>
          </cell>
          <cell r="H683" t="str">
            <v>X</v>
          </cell>
        </row>
        <row r="684">
          <cell r="F684" t="str">
            <v>Gate Valve dia.2"</v>
          </cell>
          <cell r="G684" t="str">
            <v xml:space="preserve">unit </v>
          </cell>
          <cell r="H684">
            <v>806500</v>
          </cell>
        </row>
        <row r="685">
          <cell r="F685" t="str">
            <v>Gate Valve dia.2-1/2"</v>
          </cell>
          <cell r="G685" t="str">
            <v xml:space="preserve">unit </v>
          </cell>
          <cell r="H685">
            <v>1585700</v>
          </cell>
        </row>
        <row r="686">
          <cell r="F686" t="str">
            <v>Gate Valve dia.3"</v>
          </cell>
          <cell r="G686" t="str">
            <v xml:space="preserve">unit </v>
          </cell>
          <cell r="H686">
            <v>5668300</v>
          </cell>
        </row>
        <row r="687">
          <cell r="F687" t="str">
            <v>Gate Valve dia.4"</v>
          </cell>
          <cell r="G687" t="str">
            <v xml:space="preserve">unit </v>
          </cell>
          <cell r="H687">
            <v>6767000</v>
          </cell>
        </row>
        <row r="688">
          <cell r="F688" t="str">
            <v>Gate Valve dia.5"</v>
          </cell>
          <cell r="G688" t="str">
            <v xml:space="preserve">unit </v>
          </cell>
          <cell r="H688" t="str">
            <v>X</v>
          </cell>
        </row>
        <row r="689">
          <cell r="F689" t="str">
            <v>Gate Valve dia.6"</v>
          </cell>
          <cell r="G689" t="str">
            <v xml:space="preserve">unit </v>
          </cell>
          <cell r="H689">
            <v>3429000</v>
          </cell>
        </row>
        <row r="690">
          <cell r="F690" t="str">
            <v>Gate Valve dia.8"</v>
          </cell>
          <cell r="G690" t="str">
            <v xml:space="preserve">unit </v>
          </cell>
          <cell r="H690">
            <v>6108000</v>
          </cell>
        </row>
        <row r="691">
          <cell r="F691" t="str">
            <v>Gate Valve dia.10"</v>
          </cell>
          <cell r="G691" t="str">
            <v xml:space="preserve">unit </v>
          </cell>
          <cell r="H691">
            <v>11435500</v>
          </cell>
        </row>
        <row r="692">
          <cell r="F692" t="str">
            <v>Gate Valve dia.12"</v>
          </cell>
          <cell r="G692" t="str">
            <v xml:space="preserve">unit </v>
          </cell>
          <cell r="H692">
            <v>17326500</v>
          </cell>
        </row>
        <row r="693">
          <cell r="F693" t="str">
            <v>Gate Valve dia.6"</v>
          </cell>
          <cell r="G693" t="str">
            <v xml:space="preserve">unit </v>
          </cell>
          <cell r="H693">
            <v>3429000</v>
          </cell>
        </row>
        <row r="694">
          <cell r="F694" t="str">
            <v>Ball valve dia. 1/2"</v>
          </cell>
          <cell r="G694" t="str">
            <v xml:space="preserve">unit </v>
          </cell>
          <cell r="H694" t="str">
            <v>X</v>
          </cell>
        </row>
        <row r="695">
          <cell r="F695" t="str">
            <v>Ball valve dia. 3/4"</v>
          </cell>
          <cell r="G695" t="str">
            <v xml:space="preserve">unit </v>
          </cell>
          <cell r="H695" t="str">
            <v>X</v>
          </cell>
        </row>
        <row r="696">
          <cell r="F696" t="str">
            <v>Ball valve dia. 1"</v>
          </cell>
          <cell r="G696" t="str">
            <v xml:space="preserve">unit </v>
          </cell>
          <cell r="H696" t="str">
            <v>X</v>
          </cell>
        </row>
        <row r="697">
          <cell r="F697" t="str">
            <v>Ball valve dia. 1-1/4"</v>
          </cell>
          <cell r="G697" t="str">
            <v xml:space="preserve">unit </v>
          </cell>
          <cell r="H697" t="str">
            <v>X</v>
          </cell>
        </row>
        <row r="698">
          <cell r="F698" t="str">
            <v>Ball valve dia. 1-1/2"</v>
          </cell>
          <cell r="G698" t="str">
            <v xml:space="preserve">unit </v>
          </cell>
          <cell r="H698" t="str">
            <v>X</v>
          </cell>
        </row>
        <row r="699">
          <cell r="F699" t="str">
            <v>Ball valve dia. 2"</v>
          </cell>
          <cell r="G699" t="str">
            <v xml:space="preserve">unit </v>
          </cell>
          <cell r="H699" t="str">
            <v>X</v>
          </cell>
        </row>
        <row r="700">
          <cell r="F700" t="str">
            <v>Ball valve dia. 2-1/2"</v>
          </cell>
          <cell r="G700" t="str">
            <v xml:space="preserve">unit </v>
          </cell>
          <cell r="H700" t="str">
            <v>X</v>
          </cell>
        </row>
        <row r="701">
          <cell r="F701" t="str">
            <v>Ball valve dia. 3"</v>
          </cell>
          <cell r="G701" t="str">
            <v xml:space="preserve">unit </v>
          </cell>
          <cell r="H701" t="str">
            <v>X</v>
          </cell>
        </row>
        <row r="702">
          <cell r="F702" t="str">
            <v>Ball valve dia. 4"</v>
          </cell>
          <cell r="G702" t="str">
            <v xml:space="preserve">unit </v>
          </cell>
          <cell r="H702" t="str">
            <v>X</v>
          </cell>
        </row>
        <row r="703">
          <cell r="F703" t="str">
            <v>Check valve dia. 1/2"</v>
          </cell>
          <cell r="G703" t="str">
            <v xml:space="preserve">unit </v>
          </cell>
          <cell r="H703" t="str">
            <v>X</v>
          </cell>
        </row>
        <row r="704">
          <cell r="F704" t="str">
            <v>Check valve dia. 3/4"</v>
          </cell>
          <cell r="G704" t="str">
            <v xml:space="preserve">unit </v>
          </cell>
          <cell r="H704" t="str">
            <v>X</v>
          </cell>
        </row>
        <row r="705">
          <cell r="F705" t="str">
            <v>Check valve dia. 1"</v>
          </cell>
          <cell r="G705" t="str">
            <v xml:space="preserve">unit </v>
          </cell>
          <cell r="H705" t="str">
            <v>X</v>
          </cell>
        </row>
        <row r="706">
          <cell r="F706" t="str">
            <v>Check valve dia. 1-1/4"</v>
          </cell>
          <cell r="G706" t="str">
            <v xml:space="preserve">unit </v>
          </cell>
          <cell r="H706" t="str">
            <v>X</v>
          </cell>
        </row>
        <row r="707">
          <cell r="F707" t="str">
            <v>Check valve dia. 1-1/2"</v>
          </cell>
          <cell r="G707" t="str">
            <v xml:space="preserve">unit </v>
          </cell>
          <cell r="H707" t="str">
            <v>X</v>
          </cell>
        </row>
        <row r="708">
          <cell r="F708" t="str">
            <v>Check valve dia. 2"</v>
          </cell>
          <cell r="G708" t="str">
            <v xml:space="preserve">unit </v>
          </cell>
          <cell r="H708" t="str">
            <v>X</v>
          </cell>
        </row>
        <row r="709">
          <cell r="F709" t="str">
            <v>Check valve dia. 2-1/2"</v>
          </cell>
          <cell r="G709" t="str">
            <v xml:space="preserve">unit </v>
          </cell>
          <cell r="H709">
            <v>1785000</v>
          </cell>
        </row>
        <row r="710">
          <cell r="F710" t="str">
            <v>Check valve dia. 3"</v>
          </cell>
          <cell r="G710" t="str">
            <v xml:space="preserve">unit </v>
          </cell>
          <cell r="H710">
            <v>2182700</v>
          </cell>
        </row>
        <row r="711">
          <cell r="F711" t="str">
            <v>Check valve dia. 4"</v>
          </cell>
          <cell r="G711" t="str">
            <v xml:space="preserve">unit </v>
          </cell>
          <cell r="H711">
            <v>7639200</v>
          </cell>
        </row>
        <row r="712">
          <cell r="F712" t="str">
            <v>Check valve dia. 5"</v>
          </cell>
          <cell r="G712" t="str">
            <v xml:space="preserve">unit </v>
          </cell>
          <cell r="H712" t="str">
            <v>X</v>
          </cell>
        </row>
        <row r="713">
          <cell r="F713" t="str">
            <v>Check valve dia. 6"</v>
          </cell>
          <cell r="G713" t="str">
            <v xml:space="preserve">unit </v>
          </cell>
          <cell r="H713" t="str">
            <v>X</v>
          </cell>
        </row>
        <row r="714">
          <cell r="F714" t="str">
            <v>Check valve dia. 8"</v>
          </cell>
          <cell r="G714" t="str">
            <v xml:space="preserve">unit </v>
          </cell>
          <cell r="H714" t="str">
            <v>X</v>
          </cell>
        </row>
        <row r="715">
          <cell r="F715" t="str">
            <v>Check valve dia. 10"</v>
          </cell>
          <cell r="G715" t="str">
            <v xml:space="preserve">unit </v>
          </cell>
          <cell r="H715" t="str">
            <v>X</v>
          </cell>
        </row>
        <row r="716">
          <cell r="F716" t="str">
            <v>Check valve dia. 12"</v>
          </cell>
          <cell r="G716" t="str">
            <v xml:space="preserve">unit </v>
          </cell>
          <cell r="H716" t="str">
            <v>X</v>
          </cell>
        </row>
        <row r="717">
          <cell r="F717" t="str">
            <v>Strainer dia. 1/2"</v>
          </cell>
          <cell r="G717" t="str">
            <v xml:space="preserve">unit </v>
          </cell>
          <cell r="H717">
            <v>201000</v>
          </cell>
        </row>
        <row r="718">
          <cell r="F718" t="str">
            <v>Strainer dia. 3/4"</v>
          </cell>
          <cell r="G718" t="str">
            <v xml:space="preserve">unit </v>
          </cell>
          <cell r="H718" t="str">
            <v>X</v>
          </cell>
        </row>
        <row r="719">
          <cell r="F719" t="str">
            <v>Strainer dia. 1"</v>
          </cell>
          <cell r="G719" t="str">
            <v xml:space="preserve">unit </v>
          </cell>
          <cell r="H719" t="str">
            <v>X</v>
          </cell>
        </row>
        <row r="720">
          <cell r="F720" t="str">
            <v>Strainer dia. 1-1/4"</v>
          </cell>
          <cell r="G720" t="str">
            <v xml:space="preserve">unit </v>
          </cell>
          <cell r="H720" t="str">
            <v>X</v>
          </cell>
        </row>
        <row r="721">
          <cell r="F721" t="str">
            <v>Strainer dia. 1-1/2"</v>
          </cell>
          <cell r="G721" t="str">
            <v xml:space="preserve">unit </v>
          </cell>
          <cell r="H721" t="str">
            <v>X</v>
          </cell>
        </row>
        <row r="722">
          <cell r="F722" t="str">
            <v>Strainer dia. 2"</v>
          </cell>
          <cell r="G722" t="str">
            <v xml:space="preserve">unit </v>
          </cell>
          <cell r="H722" t="str">
            <v>X</v>
          </cell>
        </row>
        <row r="723">
          <cell r="F723" t="str">
            <v>Strainer dia. 2-1/2"</v>
          </cell>
          <cell r="G723" t="str">
            <v xml:space="preserve">unit </v>
          </cell>
          <cell r="H723">
            <v>1537200</v>
          </cell>
        </row>
        <row r="724">
          <cell r="F724" t="str">
            <v>Strainer dia. 3"</v>
          </cell>
          <cell r="G724" t="str">
            <v xml:space="preserve">unit </v>
          </cell>
          <cell r="H724">
            <v>3429000</v>
          </cell>
        </row>
        <row r="725">
          <cell r="F725" t="str">
            <v>Strainer dia. 4"</v>
          </cell>
          <cell r="G725" t="str">
            <v xml:space="preserve">unit </v>
          </cell>
          <cell r="H725" t="str">
            <v>X</v>
          </cell>
        </row>
        <row r="726">
          <cell r="F726" t="str">
            <v>Strainer dia. 5"</v>
          </cell>
          <cell r="G726" t="str">
            <v xml:space="preserve">unit </v>
          </cell>
          <cell r="H726" t="str">
            <v>X</v>
          </cell>
        </row>
        <row r="727">
          <cell r="F727" t="str">
            <v>Strainer dia. 6"</v>
          </cell>
          <cell r="G727" t="str">
            <v xml:space="preserve">unit </v>
          </cell>
          <cell r="H727">
            <v>7700900</v>
          </cell>
        </row>
        <row r="728">
          <cell r="F728" t="str">
            <v>Strainer dia. 8"</v>
          </cell>
          <cell r="G728" t="str">
            <v xml:space="preserve">unit </v>
          </cell>
          <cell r="H728" t="str">
            <v>X</v>
          </cell>
        </row>
        <row r="729">
          <cell r="F729" t="str">
            <v>Strainer dia. 10"</v>
          </cell>
          <cell r="G729" t="str">
            <v xml:space="preserve">unit </v>
          </cell>
          <cell r="H729" t="str">
            <v>X</v>
          </cell>
        </row>
        <row r="730">
          <cell r="F730" t="str">
            <v>Strainer dia. 12"</v>
          </cell>
          <cell r="G730" t="str">
            <v xml:space="preserve">unit </v>
          </cell>
          <cell r="H730" t="str">
            <v>X</v>
          </cell>
        </row>
        <row r="731">
          <cell r="F731" t="str">
            <v>Strainer dia. 14"</v>
          </cell>
          <cell r="G731" t="str">
            <v xml:space="preserve">unit </v>
          </cell>
          <cell r="H731" t="str">
            <v>X</v>
          </cell>
        </row>
        <row r="732">
          <cell r="F732" t="str">
            <v>Floater valve dia. 1/2"</v>
          </cell>
          <cell r="G732" t="str">
            <v xml:space="preserve">unit </v>
          </cell>
          <cell r="H732" t="str">
            <v>X</v>
          </cell>
        </row>
        <row r="733">
          <cell r="F733" t="str">
            <v>Floater valve dia. 3/4"</v>
          </cell>
          <cell r="G733" t="str">
            <v xml:space="preserve">unit </v>
          </cell>
          <cell r="H733" t="str">
            <v>X</v>
          </cell>
        </row>
        <row r="734">
          <cell r="F734" t="str">
            <v>Floater valve dia. 1"</v>
          </cell>
          <cell r="G734" t="str">
            <v xml:space="preserve">unit </v>
          </cell>
          <cell r="H734" t="str">
            <v>X</v>
          </cell>
        </row>
        <row r="735">
          <cell r="F735" t="str">
            <v>Floater valve dia. 1-1/4"</v>
          </cell>
          <cell r="G735" t="str">
            <v xml:space="preserve">unit </v>
          </cell>
          <cell r="H735" t="str">
            <v>X</v>
          </cell>
        </row>
        <row r="736">
          <cell r="F736" t="str">
            <v>Floater valve dia. 1-1/2"</v>
          </cell>
          <cell r="G736" t="str">
            <v xml:space="preserve">unit </v>
          </cell>
          <cell r="H736" t="str">
            <v>X</v>
          </cell>
        </row>
        <row r="737">
          <cell r="F737" t="str">
            <v>Floater valve dia. 2"</v>
          </cell>
          <cell r="G737" t="str">
            <v xml:space="preserve">unit </v>
          </cell>
          <cell r="H737" t="str">
            <v>X</v>
          </cell>
        </row>
        <row r="738">
          <cell r="F738" t="str">
            <v>Floater valve dia. 2-1/2"</v>
          </cell>
          <cell r="G738" t="str">
            <v xml:space="preserve">unit </v>
          </cell>
          <cell r="H738" t="str">
            <v>X</v>
          </cell>
        </row>
        <row r="739">
          <cell r="F739" t="str">
            <v>Floater valve dia. 3"</v>
          </cell>
          <cell r="G739" t="str">
            <v xml:space="preserve">unit </v>
          </cell>
          <cell r="H739" t="str">
            <v>X</v>
          </cell>
        </row>
        <row r="740">
          <cell r="F740" t="str">
            <v>Floater valve dia. 4"</v>
          </cell>
          <cell r="G740" t="str">
            <v xml:space="preserve">unit </v>
          </cell>
          <cell r="H740" t="str">
            <v>X</v>
          </cell>
        </row>
        <row r="741">
          <cell r="F741" t="str">
            <v>Floater valve dia. 5"</v>
          </cell>
          <cell r="G741" t="str">
            <v xml:space="preserve">unit </v>
          </cell>
          <cell r="H741" t="str">
            <v>X</v>
          </cell>
        </row>
        <row r="742">
          <cell r="F742" t="str">
            <v>Floater valve dia. 6"</v>
          </cell>
          <cell r="G742" t="str">
            <v xml:space="preserve">unit </v>
          </cell>
          <cell r="H742" t="str">
            <v>X</v>
          </cell>
        </row>
        <row r="743">
          <cell r="F743" t="str">
            <v>Floater valve dia. 8"</v>
          </cell>
          <cell r="G743" t="str">
            <v xml:space="preserve">unit </v>
          </cell>
          <cell r="H743" t="str">
            <v>X</v>
          </cell>
        </row>
        <row r="744">
          <cell r="F744" t="str">
            <v>Floater valve dia. 10"</v>
          </cell>
          <cell r="G744" t="str">
            <v xml:space="preserve">unit </v>
          </cell>
          <cell r="H744" t="str">
            <v>X</v>
          </cell>
        </row>
        <row r="745">
          <cell r="F745" t="str">
            <v>Floater valve dia. 12"</v>
          </cell>
          <cell r="G745" t="str">
            <v xml:space="preserve">unit </v>
          </cell>
          <cell r="H745" t="str">
            <v>X</v>
          </cell>
        </row>
        <row r="746">
          <cell r="F746" t="str">
            <v>Foot valve dia. 1/2"</v>
          </cell>
          <cell r="G746" t="str">
            <v xml:space="preserve">unit </v>
          </cell>
          <cell r="H746" t="str">
            <v>X</v>
          </cell>
        </row>
        <row r="747">
          <cell r="F747" t="str">
            <v>Foot valve dia. 3/4"</v>
          </cell>
          <cell r="G747" t="str">
            <v xml:space="preserve">unit </v>
          </cell>
          <cell r="H747" t="str">
            <v>X</v>
          </cell>
        </row>
        <row r="748">
          <cell r="F748" t="str">
            <v>Foot valve dia. 1"</v>
          </cell>
          <cell r="G748" t="str">
            <v xml:space="preserve">unit </v>
          </cell>
          <cell r="H748" t="str">
            <v>X</v>
          </cell>
        </row>
        <row r="749">
          <cell r="F749" t="str">
            <v>Foot valve dia. 1-1/4"</v>
          </cell>
          <cell r="G749" t="str">
            <v xml:space="preserve">unit </v>
          </cell>
          <cell r="H749" t="str">
            <v>X</v>
          </cell>
        </row>
        <row r="750">
          <cell r="F750" t="str">
            <v>Foot valve dia. 1-1/2"</v>
          </cell>
          <cell r="G750" t="str">
            <v xml:space="preserve">unit </v>
          </cell>
          <cell r="H750" t="str">
            <v>X</v>
          </cell>
        </row>
        <row r="751">
          <cell r="F751" t="str">
            <v>Foot valve dia. 2"</v>
          </cell>
          <cell r="G751" t="str">
            <v xml:space="preserve">unit </v>
          </cell>
          <cell r="H751" t="str">
            <v>X</v>
          </cell>
        </row>
        <row r="752">
          <cell r="F752" t="str">
            <v>Foot valve dia. 2-1/2"</v>
          </cell>
          <cell r="G752" t="str">
            <v xml:space="preserve">unit </v>
          </cell>
          <cell r="H752" t="str">
            <v>X</v>
          </cell>
        </row>
        <row r="753">
          <cell r="F753" t="str">
            <v>Foot valve dia. 3"</v>
          </cell>
          <cell r="G753" t="str">
            <v xml:space="preserve">unit </v>
          </cell>
          <cell r="H753" t="str">
            <v>X</v>
          </cell>
        </row>
        <row r="754">
          <cell r="F754" t="str">
            <v>Foot valve dia. 4"</v>
          </cell>
          <cell r="G754" t="str">
            <v xml:space="preserve">unit </v>
          </cell>
          <cell r="H754" t="str">
            <v>X</v>
          </cell>
        </row>
        <row r="755">
          <cell r="F755" t="str">
            <v>Foot valve dia. 5"</v>
          </cell>
          <cell r="G755" t="str">
            <v xml:space="preserve">unit </v>
          </cell>
          <cell r="H755" t="str">
            <v>X</v>
          </cell>
        </row>
        <row r="756">
          <cell r="F756" t="str">
            <v>Foot valve dia. 6"</v>
          </cell>
          <cell r="G756" t="str">
            <v xml:space="preserve">unit </v>
          </cell>
          <cell r="H756" t="str">
            <v>X</v>
          </cell>
        </row>
        <row r="757">
          <cell r="F757" t="str">
            <v>Foot valve dia. 8"</v>
          </cell>
          <cell r="G757" t="str">
            <v xml:space="preserve">unit </v>
          </cell>
          <cell r="H757" t="str">
            <v>X</v>
          </cell>
        </row>
        <row r="758">
          <cell r="F758" t="str">
            <v>Foot valve dia. 10"</v>
          </cell>
          <cell r="G758" t="str">
            <v xml:space="preserve">unit </v>
          </cell>
          <cell r="H758" t="str">
            <v>X</v>
          </cell>
        </row>
        <row r="759">
          <cell r="F759" t="str">
            <v>Foot valve dia. 12"</v>
          </cell>
          <cell r="G759" t="str">
            <v xml:space="preserve">unit </v>
          </cell>
          <cell r="H759" t="str">
            <v>X</v>
          </cell>
        </row>
        <row r="760">
          <cell r="F760" t="str">
            <v>Foot valve dia. 14"</v>
          </cell>
          <cell r="G760" t="str">
            <v xml:space="preserve">unit </v>
          </cell>
          <cell r="H760" t="str">
            <v>X</v>
          </cell>
        </row>
        <row r="761">
          <cell r="F761" t="str">
            <v>Flexible Joint dia. 1/2"</v>
          </cell>
          <cell r="G761" t="str">
            <v xml:space="preserve">unit </v>
          </cell>
          <cell r="H761" t="str">
            <v>X</v>
          </cell>
        </row>
        <row r="762">
          <cell r="F762" t="str">
            <v>Flexible Joint dia. 3/4"</v>
          </cell>
          <cell r="G762" t="str">
            <v xml:space="preserve">unit </v>
          </cell>
          <cell r="H762" t="str">
            <v>X</v>
          </cell>
        </row>
        <row r="763">
          <cell r="F763" t="str">
            <v>Flexible Joint dia. 1"</v>
          </cell>
          <cell r="G763" t="str">
            <v xml:space="preserve">unit </v>
          </cell>
          <cell r="H763" t="str">
            <v>X</v>
          </cell>
        </row>
        <row r="764">
          <cell r="F764" t="str">
            <v>Flexible Joint dia. 1-1/4"</v>
          </cell>
          <cell r="G764" t="str">
            <v xml:space="preserve">unit </v>
          </cell>
          <cell r="H764" t="str">
            <v>X</v>
          </cell>
        </row>
        <row r="765">
          <cell r="F765" t="str">
            <v>Flexible Joint dia. 1-1/2"</v>
          </cell>
          <cell r="G765" t="str">
            <v xml:space="preserve">unit </v>
          </cell>
          <cell r="H765" t="str">
            <v>X</v>
          </cell>
        </row>
        <row r="766">
          <cell r="F766" t="str">
            <v>Flexible Joint dia. 2"</v>
          </cell>
          <cell r="G766" t="str">
            <v xml:space="preserve">unit </v>
          </cell>
          <cell r="H766">
            <v>828600</v>
          </cell>
        </row>
        <row r="767">
          <cell r="F767" t="str">
            <v>Flexible Joint dia. 2-1/2"</v>
          </cell>
          <cell r="G767" t="str">
            <v xml:space="preserve">unit </v>
          </cell>
          <cell r="H767">
            <v>1353300</v>
          </cell>
        </row>
        <row r="768">
          <cell r="F768" t="str">
            <v>Flexible Joint dia. 3"</v>
          </cell>
          <cell r="G768" t="str">
            <v xml:space="preserve">unit </v>
          </cell>
          <cell r="H768" t="str">
            <v>X</v>
          </cell>
        </row>
        <row r="769">
          <cell r="F769" t="str">
            <v>Flexible Joint dia. 4"</v>
          </cell>
          <cell r="G769" t="str">
            <v xml:space="preserve">unit </v>
          </cell>
          <cell r="H769">
            <v>2068000</v>
          </cell>
        </row>
        <row r="770">
          <cell r="F770" t="str">
            <v>Flexible Joint dia. 5"</v>
          </cell>
          <cell r="G770" t="str">
            <v xml:space="preserve">unit </v>
          </cell>
          <cell r="H770" t="str">
            <v>X</v>
          </cell>
        </row>
        <row r="771">
          <cell r="F771" t="str">
            <v>Flexible Joint dia. 6"</v>
          </cell>
          <cell r="G771" t="str">
            <v xml:space="preserve">unit </v>
          </cell>
          <cell r="H771" t="str">
            <v>X</v>
          </cell>
        </row>
        <row r="772">
          <cell r="F772" t="str">
            <v>Flexible Joint dia. 8"</v>
          </cell>
          <cell r="G772" t="str">
            <v xml:space="preserve">unit </v>
          </cell>
          <cell r="H772" t="str">
            <v>X</v>
          </cell>
        </row>
        <row r="773">
          <cell r="F773" t="str">
            <v>Flexible Joint dia. 10"</v>
          </cell>
          <cell r="G773" t="str">
            <v xml:space="preserve">unit </v>
          </cell>
          <cell r="H773" t="str">
            <v>X</v>
          </cell>
        </row>
        <row r="774">
          <cell r="F774" t="str">
            <v>Flexible Joint dia. 12"</v>
          </cell>
          <cell r="G774" t="str">
            <v xml:space="preserve">unit </v>
          </cell>
          <cell r="H774" t="str">
            <v>X</v>
          </cell>
        </row>
        <row r="775">
          <cell r="F775" t="str">
            <v>Flexible Joint dia. 14"</v>
          </cell>
          <cell r="G775" t="str">
            <v xml:space="preserve">unit </v>
          </cell>
          <cell r="H775" t="str">
            <v>X</v>
          </cell>
        </row>
        <row r="776">
          <cell r="F776" t="str">
            <v>Butterfly valve dia. 2"</v>
          </cell>
          <cell r="G776" t="str">
            <v xml:space="preserve">unit </v>
          </cell>
          <cell r="H776" t="str">
            <v>X</v>
          </cell>
        </row>
        <row r="777">
          <cell r="F777" t="str">
            <v>Butterfly valve dia. 2-1/2"</v>
          </cell>
          <cell r="G777" t="str">
            <v xml:space="preserve">unit </v>
          </cell>
          <cell r="H777" t="str">
            <v>X</v>
          </cell>
        </row>
        <row r="778">
          <cell r="F778" t="str">
            <v>Butterfly valve dia. 3"</v>
          </cell>
          <cell r="G778" t="str">
            <v xml:space="preserve">unit </v>
          </cell>
          <cell r="H778" t="str">
            <v>X</v>
          </cell>
        </row>
        <row r="779">
          <cell r="F779" t="str">
            <v>Butterfly valve dia. 4"</v>
          </cell>
          <cell r="G779" t="str">
            <v xml:space="preserve">unit </v>
          </cell>
          <cell r="H779" t="str">
            <v>X</v>
          </cell>
        </row>
        <row r="780">
          <cell r="F780" t="str">
            <v>Butterfly valve dia. 5"</v>
          </cell>
          <cell r="G780" t="str">
            <v xml:space="preserve">unit </v>
          </cell>
          <cell r="H780" t="str">
            <v>X</v>
          </cell>
        </row>
        <row r="781">
          <cell r="F781" t="str">
            <v>Butterfly valve dia. 6"</v>
          </cell>
          <cell r="G781" t="str">
            <v xml:space="preserve">unit </v>
          </cell>
          <cell r="H781" t="str">
            <v>X</v>
          </cell>
        </row>
        <row r="782">
          <cell r="F782" t="str">
            <v>Butterfly valve dia. 8"</v>
          </cell>
          <cell r="G782" t="str">
            <v xml:space="preserve">unit </v>
          </cell>
          <cell r="H782" t="str">
            <v>X</v>
          </cell>
        </row>
        <row r="783">
          <cell r="F783" t="str">
            <v>Butterfly valve dia. 10"</v>
          </cell>
          <cell r="G783" t="str">
            <v xml:space="preserve">unit </v>
          </cell>
          <cell r="H783" t="str">
            <v>X</v>
          </cell>
        </row>
        <row r="784">
          <cell r="F784" t="str">
            <v>Butterfly valve dia. 12"</v>
          </cell>
          <cell r="G784" t="str">
            <v xml:space="preserve">unit </v>
          </cell>
          <cell r="H784" t="str">
            <v>X</v>
          </cell>
        </row>
        <row r="785">
          <cell r="F785" t="str">
            <v>Globe valve dia. 1/2"</v>
          </cell>
          <cell r="G785" t="str">
            <v xml:space="preserve">unit </v>
          </cell>
          <cell r="H785" t="str">
            <v>X</v>
          </cell>
        </row>
        <row r="786">
          <cell r="F786" t="str">
            <v>Globe valve dia. 3/4"</v>
          </cell>
          <cell r="G786" t="str">
            <v xml:space="preserve">unit </v>
          </cell>
          <cell r="H786" t="str">
            <v>X</v>
          </cell>
        </row>
        <row r="787">
          <cell r="F787" t="str">
            <v>Globe valve dia. 1"</v>
          </cell>
          <cell r="G787" t="str">
            <v xml:space="preserve">unit </v>
          </cell>
          <cell r="H787" t="str">
            <v>X</v>
          </cell>
        </row>
        <row r="788">
          <cell r="F788" t="str">
            <v>Globe valve dia. 1-1/4"</v>
          </cell>
          <cell r="G788" t="str">
            <v xml:space="preserve">unit </v>
          </cell>
          <cell r="H788" t="str">
            <v>X</v>
          </cell>
        </row>
        <row r="789">
          <cell r="F789" t="str">
            <v>Globe valve dia. 1-1/2"</v>
          </cell>
          <cell r="G789" t="str">
            <v xml:space="preserve">unit </v>
          </cell>
          <cell r="H789" t="str">
            <v>X</v>
          </cell>
        </row>
        <row r="790">
          <cell r="F790" t="str">
            <v>Globe valve dia. 2"</v>
          </cell>
          <cell r="G790" t="str">
            <v xml:space="preserve">unit </v>
          </cell>
          <cell r="H790" t="str">
            <v>X</v>
          </cell>
        </row>
        <row r="791">
          <cell r="F791" t="str">
            <v>Globe valve dia. 2-1/2"</v>
          </cell>
          <cell r="G791" t="str">
            <v xml:space="preserve">unit </v>
          </cell>
          <cell r="H791" t="str">
            <v>X</v>
          </cell>
        </row>
        <row r="792">
          <cell r="F792" t="str">
            <v>Globe valve dia. 3"</v>
          </cell>
          <cell r="G792" t="str">
            <v xml:space="preserve">unit </v>
          </cell>
          <cell r="H792" t="str">
            <v>X</v>
          </cell>
        </row>
        <row r="793">
          <cell r="F793" t="str">
            <v>Globe valve dia. 4"</v>
          </cell>
          <cell r="G793" t="str">
            <v xml:space="preserve">unit </v>
          </cell>
          <cell r="H793" t="str">
            <v>X</v>
          </cell>
        </row>
        <row r="794">
          <cell r="F794" t="str">
            <v>Globe valve dia. 5"</v>
          </cell>
          <cell r="G794" t="str">
            <v xml:space="preserve">unit </v>
          </cell>
          <cell r="H794" t="str">
            <v>X</v>
          </cell>
        </row>
        <row r="795">
          <cell r="F795" t="str">
            <v>Globe valve dia. 6"</v>
          </cell>
          <cell r="G795" t="str">
            <v xml:space="preserve">unit </v>
          </cell>
          <cell r="H795" t="str">
            <v>X</v>
          </cell>
        </row>
        <row r="796">
          <cell r="F796" t="str">
            <v>Globe valve dia. 8"</v>
          </cell>
          <cell r="G796" t="str">
            <v xml:space="preserve">unit </v>
          </cell>
          <cell r="H796" t="str">
            <v>X</v>
          </cell>
        </row>
        <row r="797">
          <cell r="F797" t="str">
            <v>Pressure Gauge dia. 1/2"</v>
          </cell>
          <cell r="G797" t="str">
            <v xml:space="preserve">unit </v>
          </cell>
          <cell r="H797" t="str">
            <v>X</v>
          </cell>
        </row>
        <row r="798">
          <cell r="F798" t="str">
            <v>Pressure Gauge dia. 1"</v>
          </cell>
          <cell r="G798" t="str">
            <v xml:space="preserve">unit </v>
          </cell>
          <cell r="H798" t="str">
            <v>X</v>
          </cell>
        </row>
        <row r="799">
          <cell r="F799" t="str">
            <v>Pressure Gauge dia. 2"</v>
          </cell>
          <cell r="G799" t="str">
            <v xml:space="preserve">unit </v>
          </cell>
          <cell r="H799" t="str">
            <v>X</v>
          </cell>
        </row>
        <row r="800">
          <cell r="F800" t="str">
            <v>Pressure Gauge dia. 2-1/2"</v>
          </cell>
          <cell r="G800" t="str">
            <v xml:space="preserve">unit </v>
          </cell>
          <cell r="H800" t="str">
            <v>X</v>
          </cell>
        </row>
        <row r="801">
          <cell r="F801" t="str">
            <v>Pressure Gauge dia. 3"</v>
          </cell>
          <cell r="G801" t="str">
            <v xml:space="preserve">unit </v>
          </cell>
          <cell r="H801" t="str">
            <v>X</v>
          </cell>
        </row>
        <row r="802">
          <cell r="F802" t="str">
            <v>Pressure Gauge dia. 4"</v>
          </cell>
          <cell r="G802" t="str">
            <v xml:space="preserve">unit </v>
          </cell>
          <cell r="H802" t="str">
            <v>X</v>
          </cell>
        </row>
        <row r="803">
          <cell r="F803" t="str">
            <v>Water Meter dia. 1/2"</v>
          </cell>
          <cell r="G803" t="str">
            <v xml:space="preserve">Bh </v>
          </cell>
          <cell r="H803" t="str">
            <v>X</v>
          </cell>
        </row>
        <row r="804">
          <cell r="F804" t="str">
            <v>Water Meter dia. 3/4"</v>
          </cell>
          <cell r="G804" t="str">
            <v xml:space="preserve">Bh </v>
          </cell>
          <cell r="H804">
            <v>726200</v>
          </cell>
        </row>
        <row r="805">
          <cell r="F805" t="str">
            <v>Water Meter dia. 1"</v>
          </cell>
          <cell r="G805" t="str">
            <v xml:space="preserve">Bh </v>
          </cell>
          <cell r="H805" t="str">
            <v>X</v>
          </cell>
        </row>
        <row r="806">
          <cell r="F806" t="str">
            <v>Water Meter dia. 1-1/2"</v>
          </cell>
          <cell r="G806" t="str">
            <v xml:space="preserve">Bh </v>
          </cell>
          <cell r="H806" t="str">
            <v>X</v>
          </cell>
        </row>
        <row r="807">
          <cell r="F807" t="str">
            <v>Water Meter dia. 2"</v>
          </cell>
          <cell r="G807" t="str">
            <v xml:space="preserve">Bh </v>
          </cell>
          <cell r="H807" t="str">
            <v>X</v>
          </cell>
        </row>
        <row r="808">
          <cell r="F808" t="str">
            <v>Water Meter dia. 3"</v>
          </cell>
          <cell r="G808" t="str">
            <v xml:space="preserve">Bh </v>
          </cell>
          <cell r="H808" t="str">
            <v>X</v>
          </cell>
        </row>
        <row r="809">
          <cell r="F809" t="str">
            <v>Water Meter dia. 4"</v>
          </cell>
          <cell r="G809" t="str">
            <v xml:space="preserve">Bh </v>
          </cell>
          <cell r="H809" t="str">
            <v>X</v>
          </cell>
        </row>
        <row r="810">
          <cell r="F810" t="str">
            <v>Water Meter dia. 6"</v>
          </cell>
          <cell r="G810" t="str">
            <v xml:space="preserve">Bh </v>
          </cell>
          <cell r="H810" t="str">
            <v>X</v>
          </cell>
        </row>
        <row r="811">
          <cell r="F811" t="str">
            <v>Water Meter dia. 8"</v>
          </cell>
          <cell r="G811" t="str">
            <v xml:space="preserve">Bh </v>
          </cell>
          <cell r="H811" t="str">
            <v>X</v>
          </cell>
        </row>
        <row r="812">
          <cell r="F812" t="str">
            <v>Water Meter dia. 10"</v>
          </cell>
          <cell r="G812" t="str">
            <v xml:space="preserve">Bh </v>
          </cell>
          <cell r="H812" t="str">
            <v>X</v>
          </cell>
        </row>
        <row r="813">
          <cell r="F813" t="str">
            <v>Water Meter dia. 12"</v>
          </cell>
          <cell r="G813" t="str">
            <v xml:space="preserve">Bh </v>
          </cell>
          <cell r="H813" t="str">
            <v>X</v>
          </cell>
        </row>
        <row r="814">
          <cell r="F814" t="str">
            <v>Water Meter dia. 16"</v>
          </cell>
          <cell r="G814" t="str">
            <v xml:space="preserve">Bh </v>
          </cell>
          <cell r="H814" t="str">
            <v>X</v>
          </cell>
        </row>
        <row r="815">
          <cell r="F815" t="str">
            <v>Flow Meter Analog dia.4"</v>
          </cell>
          <cell r="G815" t="str">
            <v xml:space="preserve">bh </v>
          </cell>
          <cell r="H815" t="str">
            <v>X</v>
          </cell>
        </row>
        <row r="816">
          <cell r="F816" t="str">
            <v>Clean Out dia. 2"</v>
          </cell>
          <cell r="G816" t="str">
            <v xml:space="preserve">bh </v>
          </cell>
          <cell r="H816">
            <v>162100</v>
          </cell>
        </row>
        <row r="817">
          <cell r="F817" t="str">
            <v>Clean Out dia. 2-1/2"</v>
          </cell>
          <cell r="G817" t="str">
            <v xml:space="preserve">bh </v>
          </cell>
          <cell r="H817" t="str">
            <v>X</v>
          </cell>
        </row>
        <row r="818">
          <cell r="F818" t="str">
            <v>Clean Out dia. 3"</v>
          </cell>
          <cell r="G818" t="str">
            <v xml:space="preserve">bh </v>
          </cell>
          <cell r="H818" t="str">
            <v>X</v>
          </cell>
        </row>
        <row r="819">
          <cell r="F819" t="str">
            <v>Clean Out dia. 4"</v>
          </cell>
          <cell r="G819" t="str">
            <v xml:space="preserve">bh </v>
          </cell>
          <cell r="H819" t="str">
            <v>X</v>
          </cell>
        </row>
        <row r="820">
          <cell r="F820" t="str">
            <v>Clean Out dia. 5"</v>
          </cell>
          <cell r="G820" t="str">
            <v xml:space="preserve">bh </v>
          </cell>
          <cell r="H820" t="str">
            <v>X</v>
          </cell>
        </row>
        <row r="821">
          <cell r="F821" t="str">
            <v>Clean Out dia. 6"</v>
          </cell>
          <cell r="G821" t="str">
            <v xml:space="preserve">bh </v>
          </cell>
          <cell r="H821" t="str">
            <v>X</v>
          </cell>
        </row>
        <row r="822">
          <cell r="F822" t="str">
            <v>Clean Out dia. 8"</v>
          </cell>
          <cell r="G822" t="str">
            <v xml:space="preserve">bh </v>
          </cell>
          <cell r="H822" t="str">
            <v>X</v>
          </cell>
        </row>
        <row r="823">
          <cell r="F823" t="str">
            <v>Roof Drain dia. 2"</v>
          </cell>
          <cell r="G823" t="str">
            <v xml:space="preserve">Bh </v>
          </cell>
          <cell r="H823" t="str">
            <v>X</v>
          </cell>
        </row>
        <row r="824">
          <cell r="F824" t="str">
            <v>Roof Drain dia. 2-1/2"</v>
          </cell>
          <cell r="G824" t="str">
            <v xml:space="preserve">Bh </v>
          </cell>
          <cell r="H824" t="str">
            <v>X</v>
          </cell>
        </row>
        <row r="825">
          <cell r="F825" t="str">
            <v>Roof Drain dia. 3"</v>
          </cell>
          <cell r="G825" t="str">
            <v xml:space="preserve">Bh </v>
          </cell>
          <cell r="H825" t="str">
            <v>X</v>
          </cell>
        </row>
        <row r="826">
          <cell r="F826" t="str">
            <v>Roof Drain dia. 4"</v>
          </cell>
          <cell r="G826" t="str">
            <v xml:space="preserve">Bh </v>
          </cell>
          <cell r="H826" t="str">
            <v>X</v>
          </cell>
        </row>
        <row r="827">
          <cell r="F827" t="str">
            <v>Roof Drain dia. 5"</v>
          </cell>
          <cell r="G827" t="str">
            <v xml:space="preserve">Bh </v>
          </cell>
          <cell r="H827" t="str">
            <v>X</v>
          </cell>
        </row>
        <row r="828">
          <cell r="F828" t="str">
            <v>Roof Drain dia. 6"</v>
          </cell>
          <cell r="G828" t="str">
            <v xml:space="preserve">Bh </v>
          </cell>
          <cell r="H828" t="str">
            <v>X</v>
          </cell>
        </row>
        <row r="829">
          <cell r="F829" t="str">
            <v>Roof Drain dia. 8"</v>
          </cell>
          <cell r="G829" t="str">
            <v xml:space="preserve">Bh </v>
          </cell>
          <cell r="H829" t="str">
            <v>X</v>
          </cell>
        </row>
        <row r="830">
          <cell r="F830" t="str">
            <v>Roof Drain dia. 10"</v>
          </cell>
          <cell r="G830" t="str">
            <v xml:space="preserve">Bh </v>
          </cell>
          <cell r="H830" t="str">
            <v>X</v>
          </cell>
        </row>
        <row r="831">
          <cell r="F831" t="str">
            <v>Roof Drain dia. 12"</v>
          </cell>
          <cell r="G831" t="str">
            <v xml:space="preserve">Bh </v>
          </cell>
          <cell r="H831" t="str">
            <v>X</v>
          </cell>
        </row>
        <row r="832">
          <cell r="F832" t="str">
            <v>Floor Clean Out dia. 2"</v>
          </cell>
          <cell r="G832" t="str">
            <v xml:space="preserve">Bh </v>
          </cell>
          <cell r="H832" t="str">
            <v>X</v>
          </cell>
        </row>
        <row r="833">
          <cell r="F833" t="str">
            <v>Floor Clean Out dia. 2-1/2"</v>
          </cell>
          <cell r="G833" t="str">
            <v xml:space="preserve">Bh </v>
          </cell>
          <cell r="H833" t="str">
            <v>X</v>
          </cell>
        </row>
        <row r="834">
          <cell r="F834" t="str">
            <v>Floor Clean Out dia. 3"</v>
          </cell>
          <cell r="G834" t="str">
            <v xml:space="preserve">Bh </v>
          </cell>
          <cell r="H834" t="str">
            <v>X</v>
          </cell>
        </row>
        <row r="835">
          <cell r="F835" t="str">
            <v>Floor Clean Out dia. 4"</v>
          </cell>
          <cell r="G835" t="str">
            <v xml:space="preserve">Bh </v>
          </cell>
          <cell r="H835" t="str">
            <v>X</v>
          </cell>
        </row>
        <row r="836">
          <cell r="F836" t="str">
            <v>Floor Clean Out dia. 6"</v>
          </cell>
          <cell r="G836" t="str">
            <v xml:space="preserve">Bh </v>
          </cell>
          <cell r="H836" t="str">
            <v>X</v>
          </cell>
        </row>
        <row r="837">
          <cell r="F837" t="str">
            <v>Floor Clean Out dia. 8"</v>
          </cell>
          <cell r="G837" t="str">
            <v xml:space="preserve">Bh </v>
          </cell>
          <cell r="H837" t="str">
            <v>X</v>
          </cell>
        </row>
        <row r="838">
          <cell r="F838" t="str">
            <v>Vent Cap dia. 2"</v>
          </cell>
          <cell r="G838" t="str">
            <v xml:space="preserve">Bh </v>
          </cell>
          <cell r="H838" t="str">
            <v>X</v>
          </cell>
        </row>
        <row r="839">
          <cell r="F839" t="str">
            <v>Vent Cap dia. 3"</v>
          </cell>
          <cell r="G839" t="str">
            <v xml:space="preserve">Bh </v>
          </cell>
          <cell r="H839" t="str">
            <v>X</v>
          </cell>
        </row>
        <row r="840">
          <cell r="F840" t="str">
            <v>Vent Cap dia. 4"</v>
          </cell>
          <cell r="G840" t="str">
            <v xml:space="preserve">Bh </v>
          </cell>
          <cell r="H840" t="str">
            <v>X</v>
          </cell>
        </row>
        <row r="841">
          <cell r="F841" t="str">
            <v>PRV set dia. 2"</v>
          </cell>
          <cell r="G841" t="str">
            <v xml:space="preserve">Bh </v>
          </cell>
          <cell r="H841" t="str">
            <v>X</v>
          </cell>
        </row>
        <row r="842">
          <cell r="F842" t="str">
            <v>PRV set dia. 2-1/2"</v>
          </cell>
          <cell r="G842" t="str">
            <v xml:space="preserve">Bh </v>
          </cell>
          <cell r="H842" t="str">
            <v>X</v>
          </cell>
        </row>
        <row r="843">
          <cell r="F843" t="str">
            <v>PRV Set dia. 3"</v>
          </cell>
          <cell r="G843" t="str">
            <v xml:space="preserve">Bh </v>
          </cell>
          <cell r="H843" t="str">
            <v>X</v>
          </cell>
        </row>
        <row r="844">
          <cell r="F844" t="str">
            <v>PRV set dia. 4"</v>
          </cell>
          <cell r="G844" t="str">
            <v xml:space="preserve">Bh </v>
          </cell>
          <cell r="H844" t="str">
            <v>X</v>
          </cell>
        </row>
        <row r="845">
          <cell r="F845" t="str">
            <v>PRV set dia. 6"</v>
          </cell>
          <cell r="G845" t="str">
            <v xml:space="preserve">Bh </v>
          </cell>
          <cell r="H845" t="str">
            <v>X</v>
          </cell>
        </row>
        <row r="846">
          <cell r="F846" t="str">
            <v>PRV set dia. 8"</v>
          </cell>
          <cell r="G846" t="str">
            <v xml:space="preserve">Bh </v>
          </cell>
          <cell r="H846" t="str">
            <v>X</v>
          </cell>
        </row>
        <row r="847">
          <cell r="F847" t="str">
            <v>AAV dia. 1/2"</v>
          </cell>
          <cell r="G847" t="str">
            <v xml:space="preserve">unit </v>
          </cell>
          <cell r="H847" t="str">
            <v>X</v>
          </cell>
        </row>
        <row r="848">
          <cell r="F848" t="str">
            <v>AAV dia.1"</v>
          </cell>
          <cell r="G848" t="str">
            <v xml:space="preserve">unit </v>
          </cell>
          <cell r="H848" t="str">
            <v>X</v>
          </cell>
        </row>
        <row r="849">
          <cell r="F849" t="str">
            <v>AAV dia. 2"</v>
          </cell>
          <cell r="G849" t="str">
            <v xml:space="preserve">unit </v>
          </cell>
          <cell r="H849" t="str">
            <v>X</v>
          </cell>
        </row>
        <row r="850">
          <cell r="F850" t="str">
            <v>AAV dia. 3"</v>
          </cell>
          <cell r="G850" t="str">
            <v xml:space="preserve">unit </v>
          </cell>
          <cell r="H850" t="str">
            <v>X</v>
          </cell>
        </row>
        <row r="851">
          <cell r="F851" t="str">
            <v>AAV dia. 4"</v>
          </cell>
          <cell r="G851" t="str">
            <v xml:space="preserve">unit </v>
          </cell>
          <cell r="H851" t="str">
            <v>X</v>
          </cell>
        </row>
        <row r="852">
          <cell r="F852" t="str">
            <v>AAV dia. 6"</v>
          </cell>
          <cell r="G852" t="str">
            <v xml:space="preserve">unit </v>
          </cell>
          <cell r="H852" t="str">
            <v>X</v>
          </cell>
        </row>
        <row r="853">
          <cell r="F853" t="str">
            <v>Vent Out dia. 2"</v>
          </cell>
          <cell r="G853" t="str">
            <v xml:space="preserve">unit </v>
          </cell>
          <cell r="H853" t="str">
            <v>X</v>
          </cell>
        </row>
        <row r="854">
          <cell r="F854" t="str">
            <v xml:space="preserve">WLC dan Pengkabelan </v>
          </cell>
          <cell r="G854" t="str">
            <v xml:space="preserve">unit </v>
          </cell>
          <cell r="H854" t="str">
            <v>X</v>
          </cell>
        </row>
        <row r="855">
          <cell r="F855" t="str">
            <v xml:space="preserve">Pressure Switch </v>
          </cell>
          <cell r="G855" t="str">
            <v xml:space="preserve">unit </v>
          </cell>
          <cell r="H855">
            <v>4406900</v>
          </cell>
        </row>
        <row r="856">
          <cell r="F856" t="str">
            <v>Header Pipa PVC AW Dia. 4"</v>
          </cell>
          <cell r="G856" t="str">
            <v>m'</v>
          </cell>
          <cell r="H856" t="str">
            <v>X</v>
          </cell>
        </row>
        <row r="857">
          <cell r="F857" t="str">
            <v>Header Pipa Galvanis MED Class Dia. 4"</v>
          </cell>
          <cell r="G857" t="str">
            <v>m'</v>
          </cell>
          <cell r="H857" t="str">
            <v>X</v>
          </cell>
        </row>
        <row r="858">
          <cell r="F858" t="str">
            <v>Header Pipa BS SCH 40 Dia. 8"</v>
          </cell>
          <cell r="G858" t="str">
            <v>m'</v>
          </cell>
          <cell r="H858">
            <v>2727400</v>
          </cell>
        </row>
        <row r="859">
          <cell r="F859" t="str">
            <v>Header Pipa BS SCH 40 Dia. 10"</v>
          </cell>
          <cell r="G859" t="str">
            <v>m'</v>
          </cell>
          <cell r="H859" t="str">
            <v>X</v>
          </cell>
        </row>
        <row r="860">
          <cell r="F860" t="str">
            <v>Dop PVC dia. 3"</v>
          </cell>
          <cell r="G860" t="str">
            <v xml:space="preserve">Bh </v>
          </cell>
          <cell r="H860">
            <v>128900</v>
          </cell>
        </row>
        <row r="861">
          <cell r="F861" t="str">
            <v>Dop PVC dia. 4"</v>
          </cell>
          <cell r="G861" t="str">
            <v xml:space="preserve">Bh </v>
          </cell>
          <cell r="H861">
            <v>153900</v>
          </cell>
        </row>
        <row r="862">
          <cell r="F862" t="str">
            <v>Dop PVC dia. 6"</v>
          </cell>
          <cell r="G862" t="str">
            <v xml:space="preserve">Bh </v>
          </cell>
          <cell r="H862" t="str">
            <v>X</v>
          </cell>
        </row>
        <row r="863">
          <cell r="F863" t="str">
            <v>Pipa DCI dia. 100 mm</v>
          </cell>
          <cell r="G863" t="str">
            <v>m'</v>
          </cell>
          <cell r="H863">
            <v>48800</v>
          </cell>
        </row>
        <row r="864">
          <cell r="F864" t="str">
            <v>Pipa DCI, DN. 4" (100 mm)</v>
          </cell>
          <cell r="G864" t="str">
            <v>m'</v>
          </cell>
          <cell r="H864">
            <v>48800</v>
          </cell>
        </row>
        <row r="865">
          <cell r="F865" t="str">
            <v>Pipa DCI dia. 125 mm</v>
          </cell>
          <cell r="G865" t="str">
            <v>m'</v>
          </cell>
          <cell r="H865">
            <v>66200</v>
          </cell>
        </row>
        <row r="866">
          <cell r="F866" t="str">
            <v>Pipa DCI, DN. 5" (125 mm)</v>
          </cell>
          <cell r="G866" t="str">
            <v>m'</v>
          </cell>
          <cell r="H866">
            <v>66200</v>
          </cell>
        </row>
        <row r="867">
          <cell r="F867" t="str">
            <v>Pipa DCI dia. 150 mm</v>
          </cell>
          <cell r="G867" t="str">
            <v>m'</v>
          </cell>
          <cell r="H867">
            <v>81000</v>
          </cell>
        </row>
        <row r="868">
          <cell r="F868" t="str">
            <v>Pipa DCI, DN. 6" (150 mm)</v>
          </cell>
          <cell r="G868" t="str">
            <v>m'</v>
          </cell>
          <cell r="H868">
            <v>81000</v>
          </cell>
        </row>
        <row r="869">
          <cell r="F869" t="str">
            <v>Pipa DCI dia. 200 mm</v>
          </cell>
          <cell r="G869" t="str">
            <v>m'</v>
          </cell>
          <cell r="H869">
            <v>107500</v>
          </cell>
        </row>
        <row r="870">
          <cell r="F870" t="str">
            <v>Pipa DCI, DN. 8" (200 mm)</v>
          </cell>
          <cell r="G870" t="str">
            <v>m'</v>
          </cell>
          <cell r="H870">
            <v>107500</v>
          </cell>
        </row>
        <row r="871">
          <cell r="F871" t="str">
            <v>Pipa DCI dia. 250 mm</v>
          </cell>
          <cell r="G871" t="str">
            <v>m'</v>
          </cell>
          <cell r="H871">
            <v>168600</v>
          </cell>
        </row>
        <row r="872">
          <cell r="F872" t="str">
            <v>Pipa DCI, DN. 10" (250 mm)</v>
          </cell>
          <cell r="G872" t="str">
            <v>m'</v>
          </cell>
          <cell r="H872">
            <v>168600</v>
          </cell>
        </row>
        <row r="873">
          <cell r="F873" t="str">
            <v>Pipa DCI dia. 300 mm</v>
          </cell>
          <cell r="G873" t="str">
            <v>m'</v>
          </cell>
          <cell r="H873">
            <v>217900</v>
          </cell>
        </row>
        <row r="874">
          <cell r="F874" t="str">
            <v>Pipa DCI, DN. 12" (300 mm)</v>
          </cell>
          <cell r="G874" t="str">
            <v>m'</v>
          </cell>
          <cell r="H874">
            <v>217900</v>
          </cell>
        </row>
        <row r="875">
          <cell r="F875" t="str">
            <v>Pipa DCI dia. 400 mm</v>
          </cell>
          <cell r="G875" t="str">
            <v>m'</v>
          </cell>
          <cell r="H875">
            <v>385100</v>
          </cell>
        </row>
        <row r="876">
          <cell r="F876" t="str">
            <v>Pipa DCI, DN. 16" (400 mm)</v>
          </cell>
          <cell r="G876" t="str">
            <v>m'</v>
          </cell>
          <cell r="H876">
            <v>385100</v>
          </cell>
        </row>
        <row r="877">
          <cell r="F877" t="str">
            <v>Pipa DCI dia. 450 mm</v>
          </cell>
          <cell r="G877" t="str">
            <v>m'</v>
          </cell>
          <cell r="H877">
            <v>420200</v>
          </cell>
        </row>
        <row r="878">
          <cell r="F878" t="str">
            <v>Pipa DCI, DN. 18" (450 mm)</v>
          </cell>
          <cell r="G878" t="str">
            <v>m'</v>
          </cell>
          <cell r="H878">
            <v>420200</v>
          </cell>
        </row>
        <row r="879">
          <cell r="F879" t="str">
            <v>Pipa DCI dia. 500 mm</v>
          </cell>
          <cell r="G879" t="str">
            <v>m'</v>
          </cell>
          <cell r="H879">
            <v>370800</v>
          </cell>
        </row>
        <row r="880">
          <cell r="F880" t="str">
            <v>Pipa DCI, DN. 20" (500 mm)</v>
          </cell>
          <cell r="G880" t="str">
            <v>m'</v>
          </cell>
          <cell r="H880">
            <v>370800</v>
          </cell>
        </row>
        <row r="881">
          <cell r="F881" t="str">
            <v>Pipa DCI dia. 600 mm</v>
          </cell>
          <cell r="G881" t="str">
            <v>m'</v>
          </cell>
          <cell r="H881">
            <v>446600</v>
          </cell>
        </row>
        <row r="882">
          <cell r="F882" t="str">
            <v>Pipa DCI, DN. 24" (600 mm)</v>
          </cell>
          <cell r="G882" t="str">
            <v>m'</v>
          </cell>
          <cell r="H882">
            <v>446600</v>
          </cell>
        </row>
        <row r="883">
          <cell r="F883" t="str">
            <v>Pipa DCI dia. 800 mm</v>
          </cell>
          <cell r="G883" t="str">
            <v>m'</v>
          </cell>
          <cell r="H883" t="str">
            <v>X</v>
          </cell>
        </row>
        <row r="884">
          <cell r="F884" t="str">
            <v>Pipa DCI, DN. 32" (800 mm)</v>
          </cell>
          <cell r="G884" t="str">
            <v>m'</v>
          </cell>
          <cell r="H884" t="str">
            <v>X</v>
          </cell>
        </row>
        <row r="885">
          <cell r="F885" t="str">
            <v>Pipa DCI dia. 900 mm</v>
          </cell>
          <cell r="G885" t="str">
            <v>m'</v>
          </cell>
          <cell r="H885" t="str">
            <v>X</v>
          </cell>
        </row>
        <row r="886">
          <cell r="F886" t="str">
            <v>Pipa DCI, DN. 36" (900 mm)</v>
          </cell>
          <cell r="G886" t="str">
            <v>m'</v>
          </cell>
          <cell r="H886" t="str">
            <v>X</v>
          </cell>
        </row>
        <row r="887">
          <cell r="F887" t="str">
            <v>Pipa DCI dia. 1000 mm</v>
          </cell>
          <cell r="G887" t="str">
            <v>m'</v>
          </cell>
          <cell r="H887" t="str">
            <v>X</v>
          </cell>
        </row>
        <row r="888">
          <cell r="F888" t="str">
            <v>Pipa DCI, DN. 40" (1000 mm)</v>
          </cell>
          <cell r="G888" t="str">
            <v>m'</v>
          </cell>
          <cell r="H888" t="str">
            <v>X</v>
          </cell>
        </row>
        <row r="889">
          <cell r="F889" t="str">
            <v>Pipa DCI dia. 1100 mm</v>
          </cell>
          <cell r="G889" t="str">
            <v>m'</v>
          </cell>
          <cell r="H889" t="str">
            <v>X</v>
          </cell>
        </row>
        <row r="890">
          <cell r="F890" t="str">
            <v>Pipa DCI, DN. 44" (1100 mm)</v>
          </cell>
          <cell r="G890" t="str">
            <v>m'</v>
          </cell>
          <cell r="H890" t="str">
            <v>X</v>
          </cell>
        </row>
        <row r="891">
          <cell r="F891" t="str">
            <v>Pipa DCI, DN. 48" (1200 mm)</v>
          </cell>
          <cell r="G891" t="str">
            <v>m'</v>
          </cell>
          <cell r="H891" t="str">
            <v>X</v>
          </cell>
        </row>
        <row r="892">
          <cell r="F892" t="str">
            <v>Pipa Beton dia. 200 mm</v>
          </cell>
          <cell r="G892" t="str">
            <v>m'</v>
          </cell>
          <cell r="H892">
            <v>117300</v>
          </cell>
        </row>
        <row r="893">
          <cell r="F893" t="str">
            <v>Pipa Beton, DN. 8" (200 mm)</v>
          </cell>
          <cell r="G893" t="str">
            <v>m'</v>
          </cell>
          <cell r="H893">
            <v>117300</v>
          </cell>
        </row>
        <row r="894">
          <cell r="F894" t="str">
            <v>Pipa Beton dia. 300 mm</v>
          </cell>
          <cell r="G894" t="str">
            <v>m'</v>
          </cell>
          <cell r="H894">
            <v>409800</v>
          </cell>
        </row>
        <row r="895">
          <cell r="F895" t="str">
            <v>Pipa Beton, DN. 12" (300 mm)</v>
          </cell>
          <cell r="G895" t="str">
            <v>m'</v>
          </cell>
          <cell r="H895">
            <v>409800</v>
          </cell>
        </row>
        <row r="896">
          <cell r="F896" t="str">
            <v>Pipa Beton dia. 400 mm</v>
          </cell>
          <cell r="G896" t="str">
            <v>m'</v>
          </cell>
          <cell r="H896">
            <v>519700</v>
          </cell>
        </row>
        <row r="897">
          <cell r="F897" t="str">
            <v>Pipa Beton, DN. 16" (400 mm)</v>
          </cell>
          <cell r="G897" t="str">
            <v>m'</v>
          </cell>
          <cell r="H897">
            <v>519700</v>
          </cell>
        </row>
        <row r="898">
          <cell r="F898" t="str">
            <v>Pipa Beton dia. 500 mm</v>
          </cell>
          <cell r="G898" t="str">
            <v>m'</v>
          </cell>
          <cell r="H898">
            <v>331600</v>
          </cell>
        </row>
        <row r="899">
          <cell r="F899" t="str">
            <v>Pipa Beton, DN. 20" (500 mm)</v>
          </cell>
          <cell r="G899" t="str">
            <v>m'</v>
          </cell>
          <cell r="H899">
            <v>331600</v>
          </cell>
        </row>
        <row r="900">
          <cell r="F900" t="str">
            <v>Pipa Beton dia. 600 mm</v>
          </cell>
          <cell r="G900" t="str">
            <v>m'</v>
          </cell>
          <cell r="H900">
            <v>387600</v>
          </cell>
        </row>
        <row r="901">
          <cell r="F901" t="str">
            <v>Pipa Beton, DN. 24" (600 mm)</v>
          </cell>
          <cell r="G901" t="str">
            <v>m'</v>
          </cell>
          <cell r="H901">
            <v>387600</v>
          </cell>
        </row>
        <row r="902">
          <cell r="F902" t="str">
            <v>Pipa Beton dia. 700 mm</v>
          </cell>
          <cell r="G902" t="str">
            <v>m'</v>
          </cell>
          <cell r="H902" t="str">
            <v>X</v>
          </cell>
        </row>
        <row r="903">
          <cell r="F903" t="str">
            <v>Pipa Beton, DN. 28" (700 mm)</v>
          </cell>
          <cell r="G903" t="str">
            <v>m'</v>
          </cell>
          <cell r="H903" t="str">
            <v>X</v>
          </cell>
        </row>
        <row r="904">
          <cell r="F904" t="str">
            <v>Pipa Beton dia. 800 mm</v>
          </cell>
          <cell r="G904" t="str">
            <v>m'</v>
          </cell>
          <cell r="H904">
            <v>434300</v>
          </cell>
        </row>
        <row r="905">
          <cell r="F905" t="str">
            <v>Pipa Beton, DN. 32" (800 mm)</v>
          </cell>
          <cell r="G905" t="str">
            <v>m'</v>
          </cell>
          <cell r="H905">
            <v>434300</v>
          </cell>
        </row>
        <row r="906">
          <cell r="F906" t="str">
            <v>Pipa Beton dia. 1000 mm</v>
          </cell>
          <cell r="G906" t="str">
            <v>m'</v>
          </cell>
          <cell r="H906">
            <v>516600</v>
          </cell>
        </row>
        <row r="907">
          <cell r="F907" t="str">
            <v>Pipa Beton, DN. 40" (1000 mm)</v>
          </cell>
          <cell r="G907" t="str">
            <v>m'</v>
          </cell>
          <cell r="H907">
            <v>516600</v>
          </cell>
        </row>
        <row r="908">
          <cell r="F908" t="str">
            <v>Pipa Beton dia. 1200 mm</v>
          </cell>
          <cell r="G908" t="str">
            <v>m'</v>
          </cell>
          <cell r="H908" t="str">
            <v>X</v>
          </cell>
        </row>
        <row r="909">
          <cell r="F909" t="str">
            <v>Pipa Beton, DN. 48" (1200 mm)</v>
          </cell>
          <cell r="G909" t="str">
            <v>m'</v>
          </cell>
          <cell r="H909" t="str">
            <v>X</v>
          </cell>
        </row>
        <row r="910">
          <cell r="F910" t="str">
            <v>Valve Ø 6" (150 mm)</v>
          </cell>
          <cell r="G910" t="str">
            <v>buah</v>
          </cell>
          <cell r="H910" t="str">
            <v>X</v>
          </cell>
        </row>
        <row r="911">
          <cell r="F911" t="str">
            <v>Valve Ø 8" (200 mm)</v>
          </cell>
          <cell r="G911" t="str">
            <v>buah</v>
          </cell>
          <cell r="H911" t="str">
            <v>X</v>
          </cell>
        </row>
        <row r="912">
          <cell r="F912" t="str">
            <v>Valve Ø 10" (250 mm)</v>
          </cell>
          <cell r="G912" t="str">
            <v>buah</v>
          </cell>
          <cell r="H912" t="str">
            <v>X</v>
          </cell>
        </row>
        <row r="913">
          <cell r="F913" t="str">
            <v>Valve Ø 12" (300 mm)</v>
          </cell>
          <cell r="G913" t="str">
            <v>buah</v>
          </cell>
          <cell r="H913" t="str">
            <v>X</v>
          </cell>
        </row>
        <row r="914">
          <cell r="F914" t="str">
            <v>Valve Ø 16" (400 mm)</v>
          </cell>
          <cell r="G914" t="str">
            <v>buah</v>
          </cell>
          <cell r="H914" t="str">
            <v>X</v>
          </cell>
        </row>
        <row r="915">
          <cell r="F915" t="str">
            <v>Valve Ø 18" (450 mm)</v>
          </cell>
          <cell r="G915" t="str">
            <v>buah</v>
          </cell>
          <cell r="H915" t="str">
            <v>X</v>
          </cell>
        </row>
        <row r="916">
          <cell r="F916" t="str">
            <v>Valve Ø 20" (500 mm)</v>
          </cell>
          <cell r="G916" t="str">
            <v>buah</v>
          </cell>
          <cell r="H916" t="str">
            <v>X</v>
          </cell>
        </row>
        <row r="917">
          <cell r="F917" t="str">
            <v>Valve Ø 24" (600 mm)</v>
          </cell>
          <cell r="G917" t="str">
            <v>buah</v>
          </cell>
          <cell r="H917" t="str">
            <v>X</v>
          </cell>
        </row>
        <row r="918">
          <cell r="F918" t="str">
            <v>Valve Ø 28" (700 mm)</v>
          </cell>
          <cell r="G918" t="str">
            <v>buah</v>
          </cell>
          <cell r="H918" t="str">
            <v>X</v>
          </cell>
        </row>
        <row r="919">
          <cell r="F919" t="str">
            <v>Valve Ø 32" (800 mm)</v>
          </cell>
          <cell r="G919" t="str">
            <v>buah</v>
          </cell>
          <cell r="H919" t="str">
            <v>X</v>
          </cell>
        </row>
        <row r="920">
          <cell r="F920" t="str">
            <v>Valve Ø 36" (900 mm)</v>
          </cell>
          <cell r="G920" t="str">
            <v>buah</v>
          </cell>
          <cell r="H920" t="str">
            <v>X</v>
          </cell>
        </row>
        <row r="921">
          <cell r="F921" t="str">
            <v>Valve Ø 40" (1000 mm)</v>
          </cell>
          <cell r="G921" t="str">
            <v>buah</v>
          </cell>
          <cell r="H921" t="str">
            <v>X</v>
          </cell>
        </row>
        <row r="922">
          <cell r="F922" t="str">
            <v>Valve Ø 44" (1100 mm)</v>
          </cell>
          <cell r="G922" t="str">
            <v>buah</v>
          </cell>
          <cell r="H922" t="str">
            <v>X</v>
          </cell>
        </row>
        <row r="923">
          <cell r="F923" t="str">
            <v>Valve Ø 48" (1200 mm)</v>
          </cell>
          <cell r="G923" t="str">
            <v>buah</v>
          </cell>
          <cell r="H923" t="str">
            <v>X</v>
          </cell>
        </row>
        <row r="924">
          <cell r="F924" t="str">
            <v>Valve Ø 1/2" (15 mm)</v>
          </cell>
          <cell r="G924" t="str">
            <v>buah</v>
          </cell>
          <cell r="H924" t="str">
            <v>X</v>
          </cell>
        </row>
        <row r="925">
          <cell r="F925" t="str">
            <v>Valve Ø 3/4" (20 mm)</v>
          </cell>
          <cell r="G925" t="str">
            <v>buah</v>
          </cell>
          <cell r="H925" t="str">
            <v>X</v>
          </cell>
        </row>
        <row r="926">
          <cell r="F926" t="str">
            <v>Valve Ø 1" (25 mm)</v>
          </cell>
          <cell r="G926" t="str">
            <v>buah</v>
          </cell>
          <cell r="H926" t="str">
            <v>X</v>
          </cell>
        </row>
        <row r="927">
          <cell r="F927" t="str">
            <v>Valve Ø 1-1/4" (32 mm)</v>
          </cell>
          <cell r="G927" t="str">
            <v>buah</v>
          </cell>
          <cell r="H927" t="str">
            <v>X</v>
          </cell>
        </row>
        <row r="928">
          <cell r="F928" t="str">
            <v>Valve Ø 1-1/2" (40 mm)</v>
          </cell>
          <cell r="G928" t="str">
            <v>buah</v>
          </cell>
          <cell r="H928" t="str">
            <v>X</v>
          </cell>
        </row>
        <row r="929">
          <cell r="F929" t="str">
            <v>Valve Ø 2" (50 mm)</v>
          </cell>
          <cell r="G929" t="str">
            <v>buah</v>
          </cell>
          <cell r="H929" t="str">
            <v>X</v>
          </cell>
        </row>
        <row r="930">
          <cell r="F930" t="str">
            <v>Valve Ø 2-1/2" (65 mm)</v>
          </cell>
          <cell r="G930" t="str">
            <v>buah</v>
          </cell>
          <cell r="H930" t="str">
            <v>X</v>
          </cell>
        </row>
        <row r="931">
          <cell r="F931" t="str">
            <v>Valve Ø 3" (80 mm)</v>
          </cell>
          <cell r="G931" t="str">
            <v>buah</v>
          </cell>
          <cell r="H931" t="str">
            <v>X</v>
          </cell>
        </row>
        <row r="932">
          <cell r="F932" t="str">
            <v>Valve Ø 4" (100 mm)</v>
          </cell>
          <cell r="G932" t="str">
            <v>buah</v>
          </cell>
          <cell r="H932" t="str">
            <v>X</v>
          </cell>
        </row>
        <row r="933">
          <cell r="F933" t="str">
            <v>Valve Ø 5" (125 mm)</v>
          </cell>
          <cell r="G933" t="str">
            <v>buah</v>
          </cell>
          <cell r="H933" t="str">
            <v>X</v>
          </cell>
        </row>
        <row r="934">
          <cell r="F934" t="str">
            <v>Tee Ø 6" (150 mm)</v>
          </cell>
          <cell r="G934" t="str">
            <v>buah</v>
          </cell>
          <cell r="H934" t="str">
            <v>X</v>
          </cell>
        </row>
        <row r="935">
          <cell r="F935" t="str">
            <v>Tee Ø 8" (200 mm)</v>
          </cell>
          <cell r="G935" t="str">
            <v>buah</v>
          </cell>
          <cell r="H935" t="str">
            <v>X</v>
          </cell>
        </row>
        <row r="936">
          <cell r="F936" t="str">
            <v>Tee Ø 10" (250 mm)</v>
          </cell>
          <cell r="G936" t="str">
            <v>buah</v>
          </cell>
          <cell r="H936" t="str">
            <v>X</v>
          </cell>
        </row>
        <row r="937">
          <cell r="F937" t="str">
            <v>Tee Ø 18" (450 mm)</v>
          </cell>
          <cell r="G937" t="str">
            <v>buah</v>
          </cell>
          <cell r="H937" t="str">
            <v>X</v>
          </cell>
        </row>
        <row r="938">
          <cell r="F938" t="str">
            <v>Tee Ø 20" (500 mm)</v>
          </cell>
          <cell r="G938" t="str">
            <v>buah</v>
          </cell>
          <cell r="H938" t="str">
            <v>X</v>
          </cell>
        </row>
        <row r="939">
          <cell r="F939" t="str">
            <v>Tee Ø 24" (600 mm)</v>
          </cell>
          <cell r="G939" t="str">
            <v>buah</v>
          </cell>
          <cell r="H939" t="str">
            <v>X</v>
          </cell>
        </row>
        <row r="940">
          <cell r="F940" t="str">
            <v>Tee Ø 28" (700 mm)</v>
          </cell>
          <cell r="G940" t="str">
            <v>buah</v>
          </cell>
          <cell r="H940" t="str">
            <v>X</v>
          </cell>
        </row>
        <row r="941">
          <cell r="F941" t="str">
            <v>Tee Ø 32" (800 mm)</v>
          </cell>
          <cell r="G941" t="str">
            <v>buah</v>
          </cell>
          <cell r="H941" t="str">
            <v>X</v>
          </cell>
        </row>
        <row r="942">
          <cell r="F942" t="str">
            <v>Tee Ø 36" (900 mm)</v>
          </cell>
          <cell r="G942" t="str">
            <v>buah</v>
          </cell>
          <cell r="H942" t="str">
            <v>X</v>
          </cell>
        </row>
        <row r="943">
          <cell r="F943" t="str">
            <v>Tee Ø 40" (1000 mm)</v>
          </cell>
          <cell r="G943" t="str">
            <v>buah</v>
          </cell>
          <cell r="H943" t="str">
            <v>X</v>
          </cell>
        </row>
        <row r="944">
          <cell r="F944" t="str">
            <v>Tee Ø 44" (1100 mm)</v>
          </cell>
          <cell r="G944" t="str">
            <v>buah</v>
          </cell>
          <cell r="H944" t="str">
            <v>X</v>
          </cell>
        </row>
        <row r="945">
          <cell r="F945" t="str">
            <v>Tee Ø 48" (1200 mm)</v>
          </cell>
          <cell r="G945" t="str">
            <v>buah</v>
          </cell>
          <cell r="H945" t="str">
            <v>X</v>
          </cell>
        </row>
        <row r="946">
          <cell r="F946" t="str">
            <v>Tee Ø 1/2" (15 mm)</v>
          </cell>
          <cell r="G946" t="str">
            <v>buah</v>
          </cell>
          <cell r="H946" t="str">
            <v>X</v>
          </cell>
        </row>
        <row r="947">
          <cell r="F947" t="str">
            <v>Tee Ø 3/4" (20 mm)</v>
          </cell>
          <cell r="G947" t="str">
            <v>buah</v>
          </cell>
          <cell r="H947" t="str">
            <v>X</v>
          </cell>
        </row>
        <row r="948">
          <cell r="F948" t="str">
            <v>Tee Ø 1" (25 mm)</v>
          </cell>
          <cell r="G948" t="str">
            <v xml:space="preserve">buah </v>
          </cell>
          <cell r="H948" t="str">
            <v>X</v>
          </cell>
        </row>
        <row r="949">
          <cell r="F949" t="str">
            <v>Tee Ø 1-1/4" (32 mm)</v>
          </cell>
          <cell r="G949" t="str">
            <v>buah</v>
          </cell>
          <cell r="H949" t="str">
            <v>X</v>
          </cell>
        </row>
        <row r="950">
          <cell r="F950" t="str">
            <v>Tee Ø 1-1/2" (40 mm)</v>
          </cell>
          <cell r="G950" t="str">
            <v>buah</v>
          </cell>
          <cell r="H950" t="str">
            <v>X</v>
          </cell>
        </row>
        <row r="951">
          <cell r="F951" t="str">
            <v>Tee Ø 2" (50 mm)</v>
          </cell>
          <cell r="G951" t="str">
            <v>buah</v>
          </cell>
          <cell r="H951" t="str">
            <v>X</v>
          </cell>
        </row>
        <row r="952">
          <cell r="F952" t="str">
            <v>Tee Ø 2-1/2" (65 mm)</v>
          </cell>
          <cell r="G952" t="str">
            <v>buah</v>
          </cell>
          <cell r="H952" t="str">
            <v>X</v>
          </cell>
        </row>
        <row r="953">
          <cell r="F953" t="str">
            <v>Tee Ø 5" (125 mm)</v>
          </cell>
          <cell r="G953" t="str">
            <v>buah</v>
          </cell>
          <cell r="H953" t="str">
            <v>X</v>
          </cell>
        </row>
        <row r="954">
          <cell r="F954" t="str">
            <v>Tee Ø 3" (80 mm)</v>
          </cell>
          <cell r="G954" t="str">
            <v>buah</v>
          </cell>
          <cell r="H954" t="str">
            <v>X</v>
          </cell>
        </row>
        <row r="955">
          <cell r="F955" t="str">
            <v>Tee Ø 4" (100 mm)</v>
          </cell>
          <cell r="G955" t="str">
            <v>buah</v>
          </cell>
          <cell r="H955" t="str">
            <v>X</v>
          </cell>
        </row>
        <row r="956">
          <cell r="F956" t="str">
            <v>Tee Ø 12" (300 mm)</v>
          </cell>
          <cell r="G956" t="str">
            <v>buah</v>
          </cell>
          <cell r="H956" t="str">
            <v>X</v>
          </cell>
        </row>
        <row r="957">
          <cell r="F957" t="str">
            <v>Tee Ø 16" (400 mm)</v>
          </cell>
          <cell r="G957" t="str">
            <v>buah</v>
          </cell>
          <cell r="H957" t="str">
            <v>X</v>
          </cell>
        </row>
        <row r="958">
          <cell r="H958" t="str">
            <v>X</v>
          </cell>
        </row>
        <row r="959">
          <cell r="F959" t="str">
            <v>Baja (ulir) U-39</v>
          </cell>
          <cell r="G959" t="str">
            <v>kg</v>
          </cell>
          <cell r="H959">
            <v>30600</v>
          </cell>
        </row>
        <row r="960">
          <cell r="F960" t="str">
            <v>Baja (ulir) U-48</v>
          </cell>
          <cell r="G960" t="str">
            <v>kg</v>
          </cell>
          <cell r="H960">
            <v>31500</v>
          </cell>
        </row>
        <row r="961">
          <cell r="F961" t="str">
            <v>Baja Tahan Karat  ( Stainless  Steel )</v>
          </cell>
          <cell r="G961" t="str">
            <v>kg</v>
          </cell>
          <cell r="H961" t="str">
            <v>X</v>
          </cell>
        </row>
        <row r="962">
          <cell r="F962" t="str">
            <v>Baja L 40.40.4</v>
          </cell>
          <cell r="G962" t="str">
            <v>kg</v>
          </cell>
          <cell r="H962">
            <v>22600</v>
          </cell>
        </row>
        <row r="963">
          <cell r="F963" t="str">
            <v>Frame besi L.30.30.3</v>
          </cell>
          <cell r="G963" t="str">
            <v>kg</v>
          </cell>
          <cell r="H963">
            <v>17000</v>
          </cell>
        </row>
        <row r="964">
          <cell r="F964" t="str">
            <v>Frame Allum L.10.1</v>
          </cell>
          <cell r="G964" t="str">
            <v>kg</v>
          </cell>
          <cell r="H964">
            <v>40500</v>
          </cell>
        </row>
        <row r="965">
          <cell r="F965" t="str">
            <v>Besi angkur diameter 8</v>
          </cell>
          <cell r="G965" t="str">
            <v>kg</v>
          </cell>
          <cell r="H965">
            <v>22900</v>
          </cell>
        </row>
        <row r="966">
          <cell r="F966" t="str">
            <v>Besi angkur/mur/baut</v>
          </cell>
          <cell r="G966" t="str">
            <v>kg</v>
          </cell>
          <cell r="H966">
            <v>22900</v>
          </cell>
        </row>
        <row r="967">
          <cell r="F967" t="str">
            <v>Formtie/penjaga jarak bekesting/spacer</v>
          </cell>
          <cell r="G967" t="str">
            <v>bh</v>
          </cell>
          <cell r="H967">
            <v>29700</v>
          </cell>
        </row>
        <row r="968">
          <cell r="F968" t="str">
            <v xml:space="preserve">Baut </v>
          </cell>
          <cell r="G968" t="str">
            <v xml:space="preserve">kg </v>
          </cell>
          <cell r="H968">
            <v>22900</v>
          </cell>
        </row>
        <row r="969">
          <cell r="F969" t="str">
            <v>Besi hollow  38.38.2</v>
          </cell>
          <cell r="G969" t="str">
            <v>kg</v>
          </cell>
          <cell r="H969">
            <v>43047.210300429186</v>
          </cell>
        </row>
        <row r="970">
          <cell r="F970" t="str">
            <v>Besi hollow  50.50.3</v>
          </cell>
          <cell r="G970" t="str">
            <v>kg</v>
          </cell>
          <cell r="H970">
            <v>28500</v>
          </cell>
        </row>
        <row r="971">
          <cell r="F971" t="str">
            <v>Besi hollow galvanis 40.40</v>
          </cell>
          <cell r="G971" t="str">
            <v>m'</v>
          </cell>
          <cell r="H971">
            <v>6433.333333333333</v>
          </cell>
        </row>
        <row r="972">
          <cell r="F972" t="str">
            <v>Besi lis  kaca (1 x  1) cm</v>
          </cell>
          <cell r="G972" t="str">
            <v>m'</v>
          </cell>
          <cell r="H972" t="str">
            <v>X</v>
          </cell>
        </row>
        <row r="973">
          <cell r="F973" t="str">
            <v>Besi plat baja tebal 2 mm</v>
          </cell>
          <cell r="G973" t="str">
            <v>kg</v>
          </cell>
          <cell r="H973">
            <v>30300</v>
          </cell>
        </row>
        <row r="974">
          <cell r="F974" t="str">
            <v>Besi profil</v>
          </cell>
          <cell r="G974" t="str">
            <v>kg</v>
          </cell>
          <cell r="H974">
            <v>26600</v>
          </cell>
        </row>
        <row r="975">
          <cell r="F975" t="str">
            <v>Besi siku</v>
          </cell>
          <cell r="G975" t="str">
            <v>kg</v>
          </cell>
          <cell r="H975" t="str">
            <v>X</v>
          </cell>
        </row>
        <row r="976">
          <cell r="F976" t="str">
            <v>Besi siku 30x30x3 mm</v>
          </cell>
          <cell r="G976" t="str">
            <v>kg</v>
          </cell>
          <cell r="H976">
            <v>17700</v>
          </cell>
        </row>
        <row r="977">
          <cell r="F977" t="str">
            <v>Besi siku 40x40x4 mm</v>
          </cell>
          <cell r="G977" t="str">
            <v>kg</v>
          </cell>
          <cell r="H977">
            <v>17700</v>
          </cell>
        </row>
        <row r="978">
          <cell r="F978" t="str">
            <v xml:space="preserve">Baja Profil Siku </v>
          </cell>
          <cell r="G978" t="str">
            <v>kg</v>
          </cell>
          <cell r="H978">
            <v>17000</v>
          </cell>
        </row>
        <row r="979">
          <cell r="F979" t="str">
            <v>Besi siku 40x40x4</v>
          </cell>
          <cell r="G979" t="str">
            <v>m'</v>
          </cell>
          <cell r="H979">
            <v>17700</v>
          </cell>
        </row>
        <row r="980">
          <cell r="F980" t="str">
            <v>Besi siku 20x20 tebal 2 mm</v>
          </cell>
          <cell r="G980" t="str">
            <v>m</v>
          </cell>
          <cell r="H980">
            <v>17700</v>
          </cell>
        </row>
        <row r="981">
          <cell r="F981" t="str">
            <v>Besi strip</v>
          </cell>
          <cell r="G981" t="str">
            <v>kg</v>
          </cell>
          <cell r="H981">
            <v>47400</v>
          </cell>
        </row>
        <row r="982">
          <cell r="F982" t="str">
            <v xml:space="preserve">Teralis Besi Strip lengkap dengan accessories </v>
          </cell>
          <cell r="G982" t="str">
            <v>M2</v>
          </cell>
          <cell r="H982" t="str">
            <v>X</v>
          </cell>
        </row>
        <row r="983">
          <cell r="F983" t="str">
            <v>Pelat Strip t=2,6 mm, L=12 cm</v>
          </cell>
          <cell r="G983" t="str">
            <v>buah</v>
          </cell>
          <cell r="H983" t="str">
            <v>X</v>
          </cell>
        </row>
        <row r="984">
          <cell r="F984" t="str">
            <v>Pelat Strip t=2,6 mm, L=14 cm</v>
          </cell>
          <cell r="G984" t="str">
            <v>buah</v>
          </cell>
          <cell r="H984" t="str">
            <v>X</v>
          </cell>
        </row>
        <row r="985">
          <cell r="F985" t="str">
            <v>Pelat Strip t=2,6 mm, L=17 cm</v>
          </cell>
          <cell r="G985" t="str">
            <v xml:space="preserve">buah </v>
          </cell>
          <cell r="H985" t="str">
            <v>X</v>
          </cell>
        </row>
        <row r="986">
          <cell r="F986" t="str">
            <v>Pelat Strip t=2,6 mm, L=34 cm</v>
          </cell>
          <cell r="G986" t="str">
            <v>buah</v>
          </cell>
          <cell r="H986" t="str">
            <v>X</v>
          </cell>
        </row>
        <row r="987">
          <cell r="F987" t="str">
            <v xml:space="preserve">Angkur Baja Full Drat ASTM 307 dia. 10 mm Panjang 35 cm </v>
          </cell>
          <cell r="G987" t="str">
            <v>buah</v>
          </cell>
          <cell r="H987" t="str">
            <v>X</v>
          </cell>
        </row>
        <row r="988">
          <cell r="F988" t="str">
            <v xml:space="preserve">Angkur Baja Full Drat ASTM 307 dia 10 mm Panjang 65 cm </v>
          </cell>
          <cell r="G988" t="str">
            <v>buah</v>
          </cell>
          <cell r="H988" t="str">
            <v>X</v>
          </cell>
        </row>
        <row r="989">
          <cell r="F989" t="str">
            <v>Besi strip (0,2x2) cm</v>
          </cell>
          <cell r="G989" t="str">
            <v>m'</v>
          </cell>
          <cell r="H989">
            <v>8400</v>
          </cell>
        </row>
        <row r="990">
          <cell r="F990" t="str">
            <v>Besi strip (0,2x2) cm</v>
          </cell>
          <cell r="G990" t="str">
            <v>kg</v>
          </cell>
          <cell r="H990" t="str">
            <v>X</v>
          </cell>
        </row>
        <row r="991">
          <cell r="F991" t="str">
            <v>Besi strip (20x3) mm</v>
          </cell>
          <cell r="G991" t="str">
            <v>kg</v>
          </cell>
          <cell r="H991">
            <v>13700</v>
          </cell>
        </row>
        <row r="992">
          <cell r="F992" t="str">
            <v>Plat Strip 3/30 mm</v>
          </cell>
          <cell r="G992" t="str">
            <v>m'</v>
          </cell>
          <cell r="H992">
            <v>14000</v>
          </cell>
        </row>
        <row r="993">
          <cell r="F993" t="str">
            <v>Besi strip tebal 5 mm</v>
          </cell>
          <cell r="G993" t="str">
            <v>kg</v>
          </cell>
          <cell r="H993">
            <v>97200</v>
          </cell>
        </row>
        <row r="994">
          <cell r="F994" t="str">
            <v>BjTP</v>
          </cell>
          <cell r="G994" t="str">
            <v>kg</v>
          </cell>
          <cell r="H994">
            <v>18600</v>
          </cell>
        </row>
        <row r="995">
          <cell r="F995" t="str">
            <v>Baja Tulangan Polos (BjTP) diameter &lt; 12 mm</v>
          </cell>
          <cell r="G995" t="str">
            <v xml:space="preserve">kg </v>
          </cell>
          <cell r="H995">
            <v>18600</v>
          </cell>
        </row>
        <row r="996">
          <cell r="F996" t="str">
            <v>Baja Tulangan Polos (BjTP) diameter &gt;12 mm</v>
          </cell>
          <cell r="G996" t="str">
            <v xml:space="preserve">kg </v>
          </cell>
          <cell r="H996">
            <v>18600</v>
          </cell>
        </row>
        <row r="997">
          <cell r="F997" t="str">
            <v>BjTS</v>
          </cell>
          <cell r="G997" t="str">
            <v>kg</v>
          </cell>
          <cell r="H997">
            <v>13400</v>
          </cell>
        </row>
        <row r="998">
          <cell r="F998" t="str">
            <v>Baja Tulangan Sirip (BjTS) diameter &lt; 12 mm</v>
          </cell>
          <cell r="G998" t="str">
            <v xml:space="preserve">kg </v>
          </cell>
          <cell r="H998">
            <v>13400</v>
          </cell>
        </row>
        <row r="999">
          <cell r="F999" t="str">
            <v>Baja Tulangan Sirip (BjTS) diameter &gt;12 mm</v>
          </cell>
          <cell r="G999" t="str">
            <v xml:space="preserve">kg </v>
          </cell>
          <cell r="H999">
            <v>13400</v>
          </cell>
        </row>
        <row r="1000">
          <cell r="F1000" t="str">
            <v xml:space="preserve">Baja Strip </v>
          </cell>
          <cell r="G1000" t="str">
            <v xml:space="preserve">kg </v>
          </cell>
          <cell r="H1000">
            <v>21400</v>
          </cell>
        </row>
        <row r="1001">
          <cell r="F1001" t="str">
            <v>Bronjong kawat  pabrikan Uk.2x1x0,5 ø  3mm mesh 8x10</v>
          </cell>
          <cell r="G1001" t="str">
            <v>Unit</v>
          </cell>
          <cell r="H1001">
            <v>467300</v>
          </cell>
        </row>
        <row r="1002">
          <cell r="F1002" t="str">
            <v>Bronjong kawat  pabrikan Uk.3x1,5x0,5 ø  3mm mesh 8x10</v>
          </cell>
          <cell r="G1002" t="str">
            <v>Unit</v>
          </cell>
          <cell r="H1002" t="str">
            <v>X</v>
          </cell>
        </row>
        <row r="1003">
          <cell r="F1003" t="str">
            <v>Bronjong kawat  pabrikan Uk.3x1x0,5 ø  3mm mesh 8x10</v>
          </cell>
          <cell r="G1003" t="str">
            <v>Unit</v>
          </cell>
          <cell r="H1003">
            <v>682900</v>
          </cell>
        </row>
        <row r="1004">
          <cell r="F1004" t="str">
            <v>Bronjong kawat  pabrikan Uk.4x1x0,5 ø  3mm mesh 8x10</v>
          </cell>
          <cell r="G1004" t="str">
            <v>Unit</v>
          </cell>
          <cell r="H1004">
            <v>898500</v>
          </cell>
        </row>
        <row r="1005">
          <cell r="F1005" t="str">
            <v>Dinabolt dia. 12mm (10-15 cm)</v>
          </cell>
          <cell r="G1005" t="str">
            <v>buah</v>
          </cell>
          <cell r="H1005">
            <v>8200</v>
          </cell>
        </row>
        <row r="1006">
          <cell r="F1006" t="str">
            <v>Dynabolt M12</v>
          </cell>
          <cell r="G1006" t="str">
            <v xml:space="preserve">buah </v>
          </cell>
          <cell r="H1006" t="str">
            <v>X</v>
          </cell>
        </row>
        <row r="1007">
          <cell r="F1007" t="str">
            <v>Jaring Kawat Baja dilas</v>
          </cell>
          <cell r="G1007" t="str">
            <v>kg</v>
          </cell>
          <cell r="H1007">
            <v>65000</v>
          </cell>
        </row>
        <row r="1008">
          <cell r="F1008" t="str">
            <v>Kawat  bronjong</v>
          </cell>
          <cell r="G1008" t="str">
            <v>kg</v>
          </cell>
          <cell r="H1008">
            <v>36400</v>
          </cell>
        </row>
        <row r="1009">
          <cell r="F1009" t="str">
            <v>Kawat  duri</v>
          </cell>
          <cell r="G1009" t="str">
            <v>roll</v>
          </cell>
          <cell r="H1009">
            <v>166600</v>
          </cell>
        </row>
        <row r="1010">
          <cell r="F1010" t="str">
            <v>Kawat duri (m)</v>
          </cell>
          <cell r="G1010" t="str">
            <v>m'</v>
          </cell>
          <cell r="H1010">
            <v>7100</v>
          </cell>
        </row>
        <row r="1011">
          <cell r="F1011" t="str">
            <v>Kawat  galvanis  Ø 3 mm</v>
          </cell>
          <cell r="G1011" t="str">
            <v>kg</v>
          </cell>
          <cell r="H1011" t="str">
            <v>X</v>
          </cell>
        </row>
        <row r="1012">
          <cell r="F1012" t="str">
            <v>Kawat  galvanis  Ø 4 mm</v>
          </cell>
          <cell r="G1012" t="str">
            <v>kg</v>
          </cell>
          <cell r="H1012" t="str">
            <v>X</v>
          </cell>
        </row>
        <row r="1013">
          <cell r="F1013" t="str">
            <v>Kawat  galvanis  Ø 5 mm</v>
          </cell>
          <cell r="G1013" t="str">
            <v>kg</v>
          </cell>
          <cell r="H1013" t="str">
            <v>X</v>
          </cell>
        </row>
        <row r="1014">
          <cell r="F1014" t="str">
            <v>Kawat  harmonika 12 x  24 mm</v>
          </cell>
          <cell r="G1014" t="str">
            <v>m2</v>
          </cell>
          <cell r="H1014" t="str">
            <v>X</v>
          </cell>
        </row>
        <row r="1015">
          <cell r="F1015" t="str">
            <v>Kawat  harmonika 14 x  30 mm</v>
          </cell>
          <cell r="G1015" t="str">
            <v>m2</v>
          </cell>
          <cell r="H1015" t="str">
            <v>X</v>
          </cell>
        </row>
        <row r="1016">
          <cell r="F1016" t="str">
            <v>Kawat  harmonika 14 x  35 mm</v>
          </cell>
          <cell r="G1016" t="str">
            <v>m2</v>
          </cell>
          <cell r="H1016" t="str">
            <v>X</v>
          </cell>
        </row>
        <row r="1017">
          <cell r="F1017" t="str">
            <v>Kawat  kasa</v>
          </cell>
          <cell r="G1017" t="str">
            <v>m2</v>
          </cell>
          <cell r="H1017" t="str">
            <v>X</v>
          </cell>
        </row>
        <row r="1018">
          <cell r="F1018" t="str">
            <v>Kawat beton</v>
          </cell>
          <cell r="G1018" t="str">
            <v>kg</v>
          </cell>
          <cell r="H1018">
            <v>40500</v>
          </cell>
        </row>
        <row r="1019">
          <cell r="F1019" t="str">
            <v>Kawat bendrat</v>
          </cell>
          <cell r="G1019" t="str">
            <v xml:space="preserve">kg </v>
          </cell>
          <cell r="H1019">
            <v>18600</v>
          </cell>
        </row>
        <row r="1020">
          <cell r="F1020" t="str">
            <v>Kawat seng 3mm</v>
          </cell>
          <cell r="G1020" t="str">
            <v>kg</v>
          </cell>
          <cell r="H1020">
            <v>125900</v>
          </cell>
        </row>
        <row r="1021">
          <cell r="F1021" t="str">
            <v>Kawat harmonika</v>
          </cell>
          <cell r="G1021" t="str">
            <v>m2</v>
          </cell>
          <cell r="H1021">
            <v>75300</v>
          </cell>
        </row>
        <row r="1022">
          <cell r="F1022" t="str">
            <v>Kawat jaring panjang 240 cm</v>
          </cell>
          <cell r="G1022" t="str">
            <v>lembar</v>
          </cell>
          <cell r="H1022">
            <v>457600</v>
          </cell>
        </row>
        <row r="1023">
          <cell r="F1023" t="str">
            <v>Kawat las</v>
          </cell>
          <cell r="G1023" t="str">
            <v>kg</v>
          </cell>
          <cell r="H1023">
            <v>47900</v>
          </cell>
        </row>
        <row r="1024">
          <cell r="F1024" t="str">
            <v>Kawat nyamuk</v>
          </cell>
          <cell r="G1024" t="str">
            <v>m3</v>
          </cell>
          <cell r="H1024">
            <v>46300</v>
          </cell>
        </row>
        <row r="1025">
          <cell r="F1025" t="str">
            <v>Kawat nyamuk nylon</v>
          </cell>
          <cell r="G1025" t="str">
            <v>m2</v>
          </cell>
          <cell r="H1025">
            <v>33600</v>
          </cell>
        </row>
        <row r="1026">
          <cell r="F1026" t="str">
            <v>Kawat Ø 4 mm</v>
          </cell>
          <cell r="G1026" t="str">
            <v>kg</v>
          </cell>
          <cell r="H1026">
            <v>66100</v>
          </cell>
        </row>
        <row r="1027">
          <cell r="F1027" t="str">
            <v>Lapisan hot  deep galvanis</v>
          </cell>
          <cell r="G1027" t="str">
            <v>kg</v>
          </cell>
          <cell r="H1027" t="str">
            <v>X</v>
          </cell>
        </row>
        <row r="1028">
          <cell r="F1028" t="str">
            <v>Paku</v>
          </cell>
          <cell r="G1028" t="str">
            <v>kg</v>
          </cell>
          <cell r="H1028">
            <v>33900</v>
          </cell>
        </row>
        <row r="1029">
          <cell r="F1029" t="str">
            <v>Paku 1 inch</v>
          </cell>
          <cell r="G1029" t="str">
            <v>kg</v>
          </cell>
          <cell r="H1029">
            <v>32900</v>
          </cell>
        </row>
        <row r="1030">
          <cell r="F1030" t="str">
            <v>Paku 2 inch</v>
          </cell>
          <cell r="G1030" t="str">
            <v>kg</v>
          </cell>
          <cell r="H1030">
            <v>32900</v>
          </cell>
        </row>
        <row r="1031">
          <cell r="F1031" t="str">
            <v xml:space="preserve">Paku 3 cm </v>
          </cell>
          <cell r="G1031" t="str">
            <v>kg</v>
          </cell>
          <cell r="H1031">
            <v>32900</v>
          </cell>
        </row>
        <row r="1032">
          <cell r="F1032" t="str">
            <v>Paku 4 inch</v>
          </cell>
          <cell r="G1032" t="str">
            <v>kg</v>
          </cell>
          <cell r="H1032">
            <v>33200</v>
          </cell>
        </row>
        <row r="1033">
          <cell r="F1033" t="str">
            <v>Paku biasa 5 inchi</v>
          </cell>
          <cell r="G1033" t="str">
            <v>kg</v>
          </cell>
          <cell r="H1033">
            <v>33200</v>
          </cell>
        </row>
        <row r="1034">
          <cell r="F1034" t="str">
            <v xml:space="preserve">Paku 5 dan 10 cm </v>
          </cell>
          <cell r="G1034" t="str">
            <v xml:space="preserve">kg </v>
          </cell>
          <cell r="H1034">
            <v>35500</v>
          </cell>
        </row>
        <row r="1035">
          <cell r="F1035" t="str">
            <v>Paku 5 dan 7 cm</v>
          </cell>
          <cell r="G1035" t="str">
            <v>kg</v>
          </cell>
          <cell r="H1035">
            <v>35500</v>
          </cell>
        </row>
        <row r="1036">
          <cell r="F1036" t="str">
            <v>Paku 12 cm</v>
          </cell>
          <cell r="G1036" t="str">
            <v>buah</v>
          </cell>
          <cell r="H1036">
            <v>28000</v>
          </cell>
        </row>
        <row r="1037">
          <cell r="F1037" t="str">
            <v xml:space="preserve">Paku 7 - 10 cm </v>
          </cell>
          <cell r="G1037" t="str">
            <v>kg</v>
          </cell>
          <cell r="H1037">
            <v>30600</v>
          </cell>
        </row>
        <row r="1038">
          <cell r="F1038" t="str">
            <v xml:space="preserve">Paku Tripleks </v>
          </cell>
          <cell r="G1038" t="str">
            <v>kg</v>
          </cell>
          <cell r="H1038">
            <v>32900</v>
          </cell>
        </row>
        <row r="1039">
          <cell r="F1039" t="str">
            <v>Paku beton</v>
          </cell>
          <cell r="G1039" t="str">
            <v>kg</v>
          </cell>
          <cell r="H1039" t="str">
            <v>X</v>
          </cell>
        </row>
        <row r="1040">
          <cell r="F1040" t="str">
            <v>Paku Beton 5 cm</v>
          </cell>
          <cell r="G1040" t="str">
            <v>buah</v>
          </cell>
          <cell r="H1040" t="str">
            <v>X</v>
          </cell>
        </row>
        <row r="1041">
          <cell r="F1041" t="str">
            <v>Paku hak panj 15cm</v>
          </cell>
          <cell r="G1041" t="str">
            <v>kg</v>
          </cell>
          <cell r="H1041" t="str">
            <v>X</v>
          </cell>
        </row>
        <row r="1042">
          <cell r="F1042" t="str">
            <v>Paku pancing 6x23</v>
          </cell>
          <cell r="G1042" t="str">
            <v>kg</v>
          </cell>
          <cell r="H1042">
            <v>28000</v>
          </cell>
        </row>
        <row r="1043">
          <cell r="F1043" t="str">
            <v>Paku payung</v>
          </cell>
          <cell r="G1043" t="str">
            <v>kg</v>
          </cell>
          <cell r="H1043">
            <v>54700</v>
          </cell>
        </row>
        <row r="1044">
          <cell r="F1044" t="str">
            <v>Paku rivet</v>
          </cell>
          <cell r="G1044" t="str">
            <v>buah</v>
          </cell>
          <cell r="H1044">
            <v>300</v>
          </cell>
        </row>
        <row r="1045">
          <cell r="F1045" t="str">
            <v>Paku sekrup</v>
          </cell>
          <cell r="G1045" t="str">
            <v>kg</v>
          </cell>
          <cell r="H1045">
            <v>96000</v>
          </cell>
        </row>
        <row r="1046">
          <cell r="F1046" t="str">
            <v>Paku sekrup (buah)</v>
          </cell>
          <cell r="G1046" t="str">
            <v>buah</v>
          </cell>
          <cell r="H1046">
            <v>14800</v>
          </cell>
        </row>
        <row r="1047">
          <cell r="F1047" t="str">
            <v>Paku Sekrup 1-2 cm</v>
          </cell>
          <cell r="G1047" t="str">
            <v>buah</v>
          </cell>
          <cell r="H1047">
            <v>8900</v>
          </cell>
        </row>
        <row r="1048">
          <cell r="F1048" t="str">
            <v>Paku Fishes/kotak</v>
          </cell>
          <cell r="G1048" t="str">
            <v>kotak</v>
          </cell>
          <cell r="H1048" t="str">
            <v>X</v>
          </cell>
        </row>
        <row r="1049">
          <cell r="F1049" t="str">
            <v xml:space="preserve">Paku Fishes </v>
          </cell>
          <cell r="G1049" t="str">
            <v xml:space="preserve">buah </v>
          </cell>
          <cell r="H1049" t="str">
            <v>X</v>
          </cell>
        </row>
        <row r="1050">
          <cell r="F1050" t="str">
            <v>Pintu tahan api</v>
          </cell>
          <cell r="G1050" t="str">
            <v>unit</v>
          </cell>
          <cell r="H1050" t="str">
            <v>X</v>
          </cell>
        </row>
        <row r="1051">
          <cell r="F1051" t="str">
            <v>Pipa baja dia. 30 cm</v>
          </cell>
          <cell r="G1051" t="str">
            <v>m'</v>
          </cell>
          <cell r="H1051" t="str">
            <v>X</v>
          </cell>
        </row>
        <row r="1052">
          <cell r="F1052" t="str">
            <v>Pipa baja dia. 40 cm</v>
          </cell>
          <cell r="G1052" t="str">
            <v>m'</v>
          </cell>
          <cell r="H1052" t="str">
            <v>X</v>
          </cell>
        </row>
        <row r="1053">
          <cell r="F1053" t="str">
            <v>Pipa baja dia. 50 cm</v>
          </cell>
          <cell r="G1053" t="str">
            <v>m'</v>
          </cell>
          <cell r="H1053" t="str">
            <v>X</v>
          </cell>
        </row>
        <row r="1054">
          <cell r="F1054" t="str">
            <v>Pipa besi hitam 1 inch</v>
          </cell>
          <cell r="G1054" t="str">
            <v>m'</v>
          </cell>
          <cell r="H1054">
            <v>15170.75</v>
          </cell>
        </row>
        <row r="1055">
          <cell r="F1055" t="str">
            <v>Pipa besi hitam 1,5 inch</v>
          </cell>
          <cell r="G1055" t="str">
            <v>m'</v>
          </cell>
          <cell r="H1055">
            <v>23979</v>
          </cell>
        </row>
        <row r="1056">
          <cell r="F1056" t="str">
            <v>Pipa besi hitam 2 inch</v>
          </cell>
          <cell r="G1056" t="str">
            <v>m'</v>
          </cell>
          <cell r="H1056">
            <v>31929</v>
          </cell>
        </row>
        <row r="1057">
          <cell r="F1057" t="str">
            <v>Pipa besi hitam 3 inch</v>
          </cell>
          <cell r="G1057" t="str">
            <v>m'</v>
          </cell>
          <cell r="H1057">
            <v>41929</v>
          </cell>
        </row>
        <row r="1058">
          <cell r="F1058" t="str">
            <v>Saringan pasir</v>
          </cell>
          <cell r="G1058" t="str">
            <v>m'</v>
          </cell>
          <cell r="H1058" t="str">
            <v>X</v>
          </cell>
        </row>
        <row r="1059">
          <cell r="F1059" t="str">
            <v>Sekrup kait</v>
          </cell>
          <cell r="G1059" t="str">
            <v>buah</v>
          </cell>
          <cell r="H1059" t="str">
            <v>X</v>
          </cell>
        </row>
        <row r="1060">
          <cell r="F1060" t="str">
            <v>Wiremesh M10</v>
          </cell>
          <cell r="G1060" t="str">
            <v>kg</v>
          </cell>
          <cell r="H1060">
            <v>13320.903252537808</v>
          </cell>
        </row>
        <row r="1061">
          <cell r="F1061" t="str">
            <v>Wiremesh M12</v>
          </cell>
          <cell r="G1061" t="str">
            <v>kg</v>
          </cell>
          <cell r="H1061">
            <v>17647.101136527119</v>
          </cell>
        </row>
        <row r="1062">
          <cell r="F1062" t="str">
            <v>Wiremesh M6</v>
          </cell>
          <cell r="G1062" t="str">
            <v>kg</v>
          </cell>
          <cell r="H1062">
            <v>19381.472957422324</v>
          </cell>
        </row>
        <row r="1063">
          <cell r="F1063" t="str">
            <v>Wiremesh M7</v>
          </cell>
          <cell r="G1063" t="str">
            <v>kg</v>
          </cell>
          <cell r="H1063">
            <v>17689.706193193826</v>
          </cell>
        </row>
        <row r="1064">
          <cell r="F1064" t="str">
            <v>Wiremesh M8</v>
          </cell>
          <cell r="G1064" t="str">
            <v>kg</v>
          </cell>
          <cell r="H1064">
            <v>15939.472406538274</v>
          </cell>
        </row>
        <row r="1065">
          <cell r="F1065" t="str">
            <v>Wiremesh M9</v>
          </cell>
          <cell r="G1065" t="str">
            <v>kg</v>
          </cell>
          <cell r="H1065">
            <v>14260.86956521739</v>
          </cell>
        </row>
        <row r="1066">
          <cell r="H1066" t="str">
            <v>X</v>
          </cell>
        </row>
        <row r="1067">
          <cell r="F1067" t="str">
            <v>Aluminium gelombang 95x180 cm</v>
          </cell>
          <cell r="G1067" t="str">
            <v>lembar</v>
          </cell>
          <cell r="H1067">
            <v>175300</v>
          </cell>
        </row>
        <row r="1068">
          <cell r="F1068" t="str">
            <v>Asbes  gelombang kecil 4mm (150x105)</v>
          </cell>
          <cell r="G1068" t="str">
            <v>lembar</v>
          </cell>
          <cell r="H1068">
            <v>86400</v>
          </cell>
        </row>
        <row r="1069">
          <cell r="F1069" t="str">
            <v>Asbes  gelombang kecil 4mm (180x105)</v>
          </cell>
          <cell r="G1069" t="str">
            <v>lembar</v>
          </cell>
          <cell r="H1069" t="str">
            <v>X</v>
          </cell>
        </row>
        <row r="1070">
          <cell r="F1070" t="str">
            <v>Asbes  gelombang kecil 4mm (210x105)</v>
          </cell>
          <cell r="G1070" t="str">
            <v>lembar</v>
          </cell>
          <cell r="H1070">
            <v>93300</v>
          </cell>
        </row>
        <row r="1071">
          <cell r="F1071" t="str">
            <v>Asbes  gelombang kecil 4mm (240x105)</v>
          </cell>
          <cell r="G1071" t="str">
            <v>lembar</v>
          </cell>
          <cell r="H1071">
            <v>95000</v>
          </cell>
        </row>
        <row r="1072">
          <cell r="F1072" t="str">
            <v>Asbes gelombang besar 5 mm, 150x105 cm</v>
          </cell>
          <cell r="G1072" t="str">
            <v>lembar</v>
          </cell>
          <cell r="H1072">
            <v>181800</v>
          </cell>
        </row>
        <row r="1073">
          <cell r="F1073" t="str">
            <v>Asbes gelombang besar 5 mm, 180x92 cm</v>
          </cell>
          <cell r="G1073" t="str">
            <v>lembar</v>
          </cell>
          <cell r="H1073">
            <v>115700</v>
          </cell>
        </row>
        <row r="1074">
          <cell r="F1074" t="str">
            <v>Asbes gelombang besar 5 mm, 200x92 cm</v>
          </cell>
          <cell r="G1074" t="str">
            <v>lembar</v>
          </cell>
          <cell r="H1074">
            <v>144100</v>
          </cell>
        </row>
        <row r="1075">
          <cell r="F1075" t="str">
            <v>Asbes gelombang besar 5 mm, 210x105 cm</v>
          </cell>
          <cell r="G1075" t="str">
            <v>lembar</v>
          </cell>
          <cell r="H1075">
            <v>180400</v>
          </cell>
        </row>
        <row r="1076">
          <cell r="F1076" t="str">
            <v>Asbes gelombang besar 5 mm, 225x92 cm</v>
          </cell>
          <cell r="G1076" t="str">
            <v>lembar</v>
          </cell>
          <cell r="H1076">
            <v>179700</v>
          </cell>
        </row>
        <row r="1077">
          <cell r="F1077" t="str">
            <v>Asbes gelombang besar 5 mm, 240x105 cm</v>
          </cell>
          <cell r="G1077" t="str">
            <v>lembar</v>
          </cell>
          <cell r="H1077">
            <v>213700</v>
          </cell>
        </row>
        <row r="1078">
          <cell r="F1078" t="str">
            <v>Asbes gelombang besar 5 mm, 250x92 cm</v>
          </cell>
          <cell r="G1078" t="str">
            <v>lembar</v>
          </cell>
          <cell r="H1078">
            <v>181800</v>
          </cell>
        </row>
        <row r="1079">
          <cell r="F1079" t="str">
            <v>Asbes gelombang besar 5 mm, 300x105 cm</v>
          </cell>
          <cell r="G1079" t="str">
            <v>lembar</v>
          </cell>
          <cell r="H1079">
            <v>228100</v>
          </cell>
        </row>
        <row r="1080">
          <cell r="F1080" t="str">
            <v>Asbes gelombang besar 6 mm, 180x108 cm</v>
          </cell>
          <cell r="G1080" t="str">
            <v>lembar</v>
          </cell>
          <cell r="H1080">
            <v>241400</v>
          </cell>
        </row>
        <row r="1081">
          <cell r="F1081" t="str">
            <v>Asbes gelombang besar 6 mm, 210x108 cm</v>
          </cell>
          <cell r="G1081" t="str">
            <v>lembar</v>
          </cell>
          <cell r="H1081">
            <v>215700</v>
          </cell>
        </row>
        <row r="1082">
          <cell r="F1082" t="str">
            <v>Asbes gelombang besar 6 mm, 240x108 cm</v>
          </cell>
          <cell r="G1082" t="str">
            <v>lembar</v>
          </cell>
          <cell r="H1082">
            <v>270100</v>
          </cell>
        </row>
        <row r="1083">
          <cell r="F1083" t="str">
            <v>Asbes gelombang besar 6 mm, 270x108 cm</v>
          </cell>
          <cell r="G1083" t="str">
            <v>lembar</v>
          </cell>
          <cell r="H1083">
            <v>288200</v>
          </cell>
        </row>
        <row r="1084">
          <cell r="F1084" t="str">
            <v>Asbes gelombang besar 6 mm, 300x108 cm</v>
          </cell>
          <cell r="G1084" t="str">
            <v>lembar</v>
          </cell>
          <cell r="H1084">
            <v>286100</v>
          </cell>
        </row>
        <row r="1085">
          <cell r="F1085" t="str">
            <v>Asbes gelombang kecil 4 mm, 270x105 cm</v>
          </cell>
          <cell r="G1085" t="str">
            <v>lembar</v>
          </cell>
          <cell r="H1085">
            <v>222200</v>
          </cell>
        </row>
        <row r="1086">
          <cell r="F1086" t="str">
            <v>Asbes gelombang kecil 4 mm, 300x105 cm</v>
          </cell>
          <cell r="G1086" t="str">
            <v>lembar</v>
          </cell>
          <cell r="H1086">
            <v>120100</v>
          </cell>
        </row>
        <row r="1087">
          <cell r="F1087" t="str">
            <v>Atap metal berpasir</v>
          </cell>
          <cell r="G1087" t="str">
            <v>m2</v>
          </cell>
          <cell r="H1087" t="str">
            <v>X</v>
          </cell>
        </row>
        <row r="1088">
          <cell r="F1088" t="str">
            <v>Atap metal lembaran</v>
          </cell>
          <cell r="G1088" t="str">
            <v>m2</v>
          </cell>
          <cell r="H1088">
            <v>61100</v>
          </cell>
        </row>
        <row r="1089">
          <cell r="F1089" t="str">
            <v>Atap metal menerus</v>
          </cell>
          <cell r="G1089" t="str">
            <v>m2</v>
          </cell>
          <cell r="H1089">
            <v>61100</v>
          </cell>
        </row>
        <row r="1090">
          <cell r="F1090" t="str">
            <v>Atap Rumbia /  Atap Saung 150cmx50cm</v>
          </cell>
          <cell r="G1090" t="str">
            <v>buah</v>
          </cell>
          <cell r="H1090" t="str">
            <v>X</v>
          </cell>
        </row>
        <row r="1091">
          <cell r="F1091" t="str">
            <v>Atap UPVC uk. 86x119 cm</v>
          </cell>
          <cell r="G1091" t="str">
            <v>m2</v>
          </cell>
          <cell r="H1091">
            <v>68301.739300000001</v>
          </cell>
        </row>
        <row r="1092">
          <cell r="F1092" t="str">
            <v>Bitumen tekstur genting</v>
          </cell>
          <cell r="G1092" t="str">
            <v>lembar</v>
          </cell>
          <cell r="H1092">
            <v>312400</v>
          </cell>
        </row>
        <row r="1093">
          <cell r="F1093" t="str">
            <v>Bubung genteng kodok</v>
          </cell>
          <cell r="G1093" t="str">
            <v>buah</v>
          </cell>
          <cell r="H1093">
            <v>12700</v>
          </cell>
        </row>
        <row r="1094">
          <cell r="F1094" t="str">
            <v>Bubung genteng palentong</v>
          </cell>
          <cell r="G1094" t="str">
            <v>buah</v>
          </cell>
          <cell r="H1094">
            <v>17600</v>
          </cell>
        </row>
        <row r="1095">
          <cell r="F1095" t="str">
            <v>Bubungan asbes  besar</v>
          </cell>
          <cell r="G1095" t="str">
            <v>buah</v>
          </cell>
          <cell r="H1095" t="str">
            <v>X</v>
          </cell>
        </row>
        <row r="1096">
          <cell r="F1096" t="str">
            <v>Bubungan asbes  kecil</v>
          </cell>
          <cell r="G1096" t="str">
            <v>buah</v>
          </cell>
          <cell r="H1096" t="str">
            <v>X</v>
          </cell>
        </row>
        <row r="1097">
          <cell r="F1097" t="str">
            <v>Bubungan beton press</v>
          </cell>
          <cell r="G1097" t="str">
            <v>buah</v>
          </cell>
          <cell r="H1097" t="str">
            <v>X</v>
          </cell>
        </row>
        <row r="1098">
          <cell r="F1098" t="str">
            <v>Fibre glass  (jabes) 180x105 cm</v>
          </cell>
          <cell r="G1098" t="str">
            <v>lembar</v>
          </cell>
          <cell r="H1098" t="str">
            <v>X</v>
          </cell>
        </row>
        <row r="1099">
          <cell r="F1099" t="str">
            <v>Fibre glass  (jabes) 200x92 cm</v>
          </cell>
          <cell r="G1099" t="str">
            <v>lembar</v>
          </cell>
          <cell r="H1099" t="str">
            <v>X</v>
          </cell>
        </row>
        <row r="1100">
          <cell r="F1100" t="str">
            <v>Fibre glass  (jabes) 210x105 cm</v>
          </cell>
          <cell r="G1100" t="str">
            <v>buah</v>
          </cell>
          <cell r="H1100" t="str">
            <v>X</v>
          </cell>
        </row>
        <row r="1101">
          <cell r="F1101" t="str">
            <v>Fibre glass  (jabes) 250x105 cm</v>
          </cell>
          <cell r="G1101" t="str">
            <v>buah</v>
          </cell>
          <cell r="H1101" t="str">
            <v>X</v>
          </cell>
        </row>
        <row r="1102">
          <cell r="F1102" t="str">
            <v>Fibre glass  (jabes) 250x92 cm</v>
          </cell>
          <cell r="G1102" t="str">
            <v>buah</v>
          </cell>
          <cell r="H1102" t="str">
            <v>X</v>
          </cell>
        </row>
        <row r="1103">
          <cell r="F1103" t="str">
            <v>Fibreglass 180x90 cm</v>
          </cell>
          <cell r="G1103" t="str">
            <v>lembar</v>
          </cell>
          <cell r="H1103" t="str">
            <v>X</v>
          </cell>
        </row>
        <row r="1104">
          <cell r="F1104" t="str">
            <v>Frame 'S' 85.50 tinggi profil 85 dan tebal 0,75  mm</v>
          </cell>
          <cell r="G1104" t="str">
            <v>batang</v>
          </cell>
          <cell r="H1104" t="str">
            <v>X</v>
          </cell>
        </row>
        <row r="1105">
          <cell r="F1105" t="str">
            <v>Galvalum Gelombang Lapis  Pasir</v>
          </cell>
          <cell r="G1105" t="str">
            <v>lembar</v>
          </cell>
          <cell r="H1105" t="str">
            <v>X</v>
          </cell>
        </row>
        <row r="1106">
          <cell r="F1106" t="str">
            <v>Genteng aspal 80x100 cm</v>
          </cell>
          <cell r="G1106" t="str">
            <v>buah</v>
          </cell>
          <cell r="H1106">
            <v>148050</v>
          </cell>
        </row>
        <row r="1107">
          <cell r="F1107" t="str">
            <v>Genteng beton</v>
          </cell>
          <cell r="G1107" t="str">
            <v>buah</v>
          </cell>
          <cell r="H1107">
            <v>10200</v>
          </cell>
        </row>
        <row r="1108">
          <cell r="F1108" t="str">
            <v>Genteng decra bond</v>
          </cell>
          <cell r="G1108" t="str">
            <v>buah</v>
          </cell>
          <cell r="H1108" t="str">
            <v>X</v>
          </cell>
        </row>
        <row r="1109">
          <cell r="F1109" t="str">
            <v>Genteng kodok</v>
          </cell>
          <cell r="G1109" t="str">
            <v>buah</v>
          </cell>
          <cell r="H1109">
            <v>5200</v>
          </cell>
        </row>
        <row r="1110">
          <cell r="F1110" t="str">
            <v>Genteng kodok glazuur</v>
          </cell>
          <cell r="G1110" t="str">
            <v>buah</v>
          </cell>
          <cell r="H1110">
            <v>5200</v>
          </cell>
        </row>
        <row r="1111">
          <cell r="F1111" t="str">
            <v>Genteng metal</v>
          </cell>
          <cell r="G1111" t="str">
            <v>lembar</v>
          </cell>
          <cell r="H1111">
            <v>47047</v>
          </cell>
        </row>
        <row r="1112">
          <cell r="F1112" t="str">
            <v>Genteng metal berpasir</v>
          </cell>
          <cell r="G1112" t="str">
            <v>lembar</v>
          </cell>
          <cell r="H1112" t="str">
            <v>X</v>
          </cell>
        </row>
        <row r="1113">
          <cell r="F1113" t="str">
            <v>Genteng palentong</v>
          </cell>
          <cell r="G1113" t="str">
            <v>buah</v>
          </cell>
          <cell r="H1113">
            <v>2200</v>
          </cell>
        </row>
        <row r="1114">
          <cell r="F1114" t="str">
            <v>Genteng palentong super</v>
          </cell>
          <cell r="G1114" t="str">
            <v>buah</v>
          </cell>
          <cell r="H1114">
            <v>5200</v>
          </cell>
        </row>
        <row r="1115">
          <cell r="F1115" t="str">
            <v>Listplang papan kalsiboard</v>
          </cell>
          <cell r="G1115" t="str">
            <v>buah</v>
          </cell>
          <cell r="H1115" t="str">
            <v>X</v>
          </cell>
        </row>
        <row r="1116">
          <cell r="F1116" t="str">
            <v>Listplang tekstur kayu</v>
          </cell>
          <cell r="G1116" t="str">
            <v>buah</v>
          </cell>
          <cell r="H1116" t="str">
            <v>X</v>
          </cell>
        </row>
        <row r="1117">
          <cell r="F1117" t="str">
            <v>Nok genteng aspal</v>
          </cell>
          <cell r="G1117" t="str">
            <v>buah</v>
          </cell>
          <cell r="H1117">
            <v>85850</v>
          </cell>
        </row>
        <row r="1118">
          <cell r="F1118" t="str">
            <v>Nok genteng beton</v>
          </cell>
          <cell r="G1118" t="str">
            <v>buah</v>
          </cell>
          <cell r="H1118">
            <v>35200</v>
          </cell>
        </row>
        <row r="1119">
          <cell r="F1119" t="str">
            <v>Nok genteng metal</v>
          </cell>
          <cell r="G1119" t="str">
            <v>buah</v>
          </cell>
          <cell r="H1119">
            <v>74300</v>
          </cell>
        </row>
        <row r="1120">
          <cell r="F1120" t="str">
            <v>Nok paten 105 cm</v>
          </cell>
          <cell r="G1120" t="str">
            <v>lembar</v>
          </cell>
          <cell r="H1120">
            <v>96000</v>
          </cell>
        </row>
        <row r="1121">
          <cell r="F1121" t="str">
            <v>Nok paten 108 cm</v>
          </cell>
          <cell r="G1121" t="str">
            <v>lembar</v>
          </cell>
          <cell r="H1121">
            <v>96000</v>
          </cell>
        </row>
        <row r="1122">
          <cell r="F1122" t="str">
            <v>Nok paten 92 cm</v>
          </cell>
          <cell r="G1122" t="str">
            <v>lembar</v>
          </cell>
          <cell r="H1122">
            <v>96000</v>
          </cell>
        </row>
        <row r="1123">
          <cell r="F1123" t="str">
            <v>Nok setel rata 105 cm</v>
          </cell>
          <cell r="G1123" t="str">
            <v>lembar</v>
          </cell>
          <cell r="H1123">
            <v>94400</v>
          </cell>
        </row>
        <row r="1124">
          <cell r="F1124" t="str">
            <v>Nok setel rata 108 cm</v>
          </cell>
          <cell r="G1124" t="str">
            <v>lembar</v>
          </cell>
          <cell r="H1124">
            <v>94400</v>
          </cell>
        </row>
        <row r="1125">
          <cell r="F1125" t="str">
            <v>Nok setel rata 92 cm</v>
          </cell>
          <cell r="G1125" t="str">
            <v>lembar</v>
          </cell>
          <cell r="H1125">
            <v>94400</v>
          </cell>
        </row>
        <row r="1126">
          <cell r="F1126" t="str">
            <v>Nok standar</v>
          </cell>
          <cell r="G1126" t="str">
            <v>lembar</v>
          </cell>
          <cell r="H1126">
            <v>91600</v>
          </cell>
        </row>
        <row r="1127">
          <cell r="F1127" t="str">
            <v>Nok stel gelombang 92 cm</v>
          </cell>
          <cell r="G1127" t="str">
            <v>lembar</v>
          </cell>
          <cell r="H1127">
            <v>86400</v>
          </cell>
        </row>
        <row r="1128">
          <cell r="F1128" t="str">
            <v>Nok stel gelombang 105 cm</v>
          </cell>
          <cell r="G1128" t="str">
            <v>lembar</v>
          </cell>
          <cell r="H1128">
            <v>120100</v>
          </cell>
        </row>
        <row r="1129">
          <cell r="F1129" t="str">
            <v>Nok stel gelombang 108 cm</v>
          </cell>
          <cell r="G1129" t="str">
            <v>lembar</v>
          </cell>
          <cell r="H1129">
            <v>215700</v>
          </cell>
        </row>
        <row r="1130">
          <cell r="F1130" t="str">
            <v>Reng  batten  0,5</v>
          </cell>
          <cell r="G1130" t="str">
            <v>batang</v>
          </cell>
          <cell r="H1130" t="str">
            <v>X</v>
          </cell>
        </row>
        <row r="1131">
          <cell r="F1131" t="str">
            <v>Roof light fiberglass</v>
          </cell>
          <cell r="G1131" t="str">
            <v>lembar</v>
          </cell>
          <cell r="H1131">
            <v>284500</v>
          </cell>
        </row>
        <row r="1132">
          <cell r="F1132" t="str">
            <v>Seng gelombang</v>
          </cell>
          <cell r="G1132" t="str">
            <v>lembar</v>
          </cell>
          <cell r="H1132">
            <v>114200</v>
          </cell>
        </row>
        <row r="1133">
          <cell r="F1133" t="str">
            <v>Seng gelombang 3x6 inch</v>
          </cell>
          <cell r="G1133" t="str">
            <v>lembar</v>
          </cell>
          <cell r="H1133">
            <v>84700</v>
          </cell>
        </row>
        <row r="1134">
          <cell r="F1134" t="str">
            <v>Seng Gelombang 105 cm x 180 cm</v>
          </cell>
          <cell r="G1134" t="str">
            <v xml:space="preserve">Lembar </v>
          </cell>
          <cell r="H1134">
            <v>183100</v>
          </cell>
        </row>
        <row r="1135">
          <cell r="F1135" t="str">
            <v>Seng gelombang BJLS  0.18 panjang 180 cm</v>
          </cell>
          <cell r="G1135" t="str">
            <v>lembar</v>
          </cell>
          <cell r="H1135" t="str">
            <v>X</v>
          </cell>
        </row>
        <row r="1136">
          <cell r="F1136" t="str">
            <v>Seng gelombang BJLS  0.20 panjang 180 cm</v>
          </cell>
          <cell r="G1136" t="str">
            <v>lembar</v>
          </cell>
          <cell r="H1136" t="str">
            <v>X</v>
          </cell>
        </row>
        <row r="1137">
          <cell r="F1137" t="str">
            <v>Seng gelombang BJLS  0.30 panjang 180 cm</v>
          </cell>
          <cell r="G1137" t="str">
            <v>lembar</v>
          </cell>
          <cell r="H1137">
            <v>167200</v>
          </cell>
        </row>
        <row r="1138">
          <cell r="F1138" t="str">
            <v>Seng gelombang BJLS  0.40 panjang 180 cm</v>
          </cell>
          <cell r="G1138" t="str">
            <v>lembar</v>
          </cell>
          <cell r="H1138" t="str">
            <v>X</v>
          </cell>
        </row>
        <row r="1139">
          <cell r="F1139" t="str">
            <v>Seng gelombang BJLS  28</v>
          </cell>
          <cell r="G1139" t="str">
            <v>lembar</v>
          </cell>
          <cell r="H1139" t="str">
            <v>X</v>
          </cell>
        </row>
        <row r="1140">
          <cell r="F1140" t="str">
            <v>Seng gelombang bljs 30</v>
          </cell>
          <cell r="G1140" t="str">
            <v>lembar</v>
          </cell>
          <cell r="H1140" t="str">
            <v>X</v>
          </cell>
        </row>
        <row r="1141">
          <cell r="F1141" t="str">
            <v>Seng gelombang panjang 200 cm</v>
          </cell>
          <cell r="G1141" t="str">
            <v>lembar</v>
          </cell>
          <cell r="H1141" t="str">
            <v>X</v>
          </cell>
        </row>
        <row r="1142">
          <cell r="F1142" t="str">
            <v>Seng plat  BJLS 0.18 lebar 55 cm</v>
          </cell>
          <cell r="G1142" t="str">
            <v>m'</v>
          </cell>
          <cell r="H1142" t="str">
            <v>X</v>
          </cell>
        </row>
        <row r="1143">
          <cell r="F1143" t="str">
            <v>Seng plat  BJLS 0.20 lebar 55 cm</v>
          </cell>
          <cell r="G1143" t="str">
            <v>m'</v>
          </cell>
          <cell r="H1143" t="str">
            <v>X</v>
          </cell>
        </row>
        <row r="1144">
          <cell r="F1144" t="str">
            <v>Seng plat  BJLS 0.28 lebar 55 cm</v>
          </cell>
          <cell r="G1144" t="str">
            <v>m'</v>
          </cell>
          <cell r="H1144" t="str">
            <v>X</v>
          </cell>
        </row>
        <row r="1145">
          <cell r="F1145" t="str">
            <v>Seng plat  BJLS 0.30 lebar 55 cm</v>
          </cell>
          <cell r="G1145" t="str">
            <v>m'</v>
          </cell>
          <cell r="H1145" t="str">
            <v>X</v>
          </cell>
        </row>
        <row r="1146">
          <cell r="F1146" t="str">
            <v>Seng Plat BJLS 0.28 Uk. 90x180 cm</v>
          </cell>
          <cell r="G1146" t="str">
            <v xml:space="preserve">lembar </v>
          </cell>
          <cell r="H1146" t="str">
            <v>X</v>
          </cell>
        </row>
        <row r="1147">
          <cell r="F1147" t="str">
            <v>Seng plat bjls 28</v>
          </cell>
          <cell r="G1147" t="str">
            <v>m'</v>
          </cell>
          <cell r="H1147" t="str">
            <v>X</v>
          </cell>
        </row>
        <row r="1148">
          <cell r="F1148" t="str">
            <v>Seng plat bjls 30</v>
          </cell>
          <cell r="G1148" t="str">
            <v>lembar</v>
          </cell>
          <cell r="H1148">
            <v>29700</v>
          </cell>
        </row>
        <row r="1149">
          <cell r="F1149" t="str">
            <v>Seng plat bjls 30</v>
          </cell>
          <cell r="G1149" t="str">
            <v>m'</v>
          </cell>
          <cell r="H1149">
            <v>49500</v>
          </cell>
        </row>
        <row r="1150">
          <cell r="F1150" t="str">
            <v>Seng Pelat  90x180 cm bjls 28</v>
          </cell>
          <cell r="G1150" t="str">
            <v>lembar</v>
          </cell>
          <cell r="H1150">
            <v>167200</v>
          </cell>
        </row>
        <row r="1151">
          <cell r="F1151" t="str">
            <v>Seng Pelat  90x180 cm bjls 28</v>
          </cell>
          <cell r="G1151" t="str">
            <v>lembar</v>
          </cell>
          <cell r="H1151">
            <v>167200</v>
          </cell>
        </row>
        <row r="1152">
          <cell r="F1152" t="str">
            <v>Seng pelat</v>
          </cell>
          <cell r="G1152" t="str">
            <v>lembar</v>
          </cell>
          <cell r="H1152">
            <v>88600</v>
          </cell>
        </row>
        <row r="1153">
          <cell r="F1153" t="str">
            <v>Sirap (100 lbr)</v>
          </cell>
          <cell r="G1153" t="str">
            <v>pak</v>
          </cell>
          <cell r="H1153" t="str">
            <v>X</v>
          </cell>
        </row>
        <row r="1154">
          <cell r="F1154" t="str">
            <v>Sirap kayu</v>
          </cell>
          <cell r="G1154" t="str">
            <v>buah</v>
          </cell>
          <cell r="H1154">
            <v>2072</v>
          </cell>
        </row>
        <row r="1155">
          <cell r="F1155" t="str">
            <v>Wab  capsule 62.27  tinggi 62  mm dan  tebal 0,4mm</v>
          </cell>
          <cell r="G1155" t="str">
            <v>batang</v>
          </cell>
          <cell r="H1155" t="str">
            <v>X</v>
          </cell>
        </row>
        <row r="1156">
          <cell r="F1156" t="str">
            <v>MATERIAL PLAFON</v>
          </cell>
          <cell r="H1156" t="str">
            <v>X</v>
          </cell>
        </row>
        <row r="1157">
          <cell r="F1157" t="str">
            <v>Asbes 1,00  x 1,00  m</v>
          </cell>
          <cell r="G1157" t="str">
            <v>lembar</v>
          </cell>
          <cell r="H1157" t="str">
            <v>X</v>
          </cell>
        </row>
        <row r="1158">
          <cell r="F1158" t="str">
            <v>Compon Flafond</v>
          </cell>
          <cell r="G1158" t="str">
            <v>kg</v>
          </cell>
          <cell r="H1158" t="str">
            <v>X</v>
          </cell>
        </row>
        <row r="1159">
          <cell r="F1159" t="str">
            <v>cross tee</v>
          </cell>
          <cell r="G1159" t="str">
            <v>batang</v>
          </cell>
          <cell r="H1159" t="str">
            <v>X</v>
          </cell>
        </row>
        <row r="1160">
          <cell r="F1160" t="str">
            <v>GRC Pelat t=4 mm uk 122x244 cm</v>
          </cell>
          <cell r="G1160" t="str">
            <v>lembar</v>
          </cell>
          <cell r="H1160">
            <v>115500</v>
          </cell>
        </row>
        <row r="1161">
          <cell r="F1161" t="str">
            <v>GRCboard (120 cm x  240 cm x  5 mm)</v>
          </cell>
          <cell r="G1161" t="str">
            <v>m2</v>
          </cell>
          <cell r="H1161" t="str">
            <v>X</v>
          </cell>
        </row>
        <row r="1162">
          <cell r="F1162" t="str">
            <v>GRCboard (120 cm x  240 cm x  6 mm)</v>
          </cell>
          <cell r="G1162" t="str">
            <v>m2</v>
          </cell>
          <cell r="H1162" t="str">
            <v>X</v>
          </cell>
        </row>
        <row r="1163">
          <cell r="F1163" t="str">
            <v>Gypsum Board (120 cm x  240 cm x  12 mm)</v>
          </cell>
          <cell r="G1163" t="str">
            <v>lembar</v>
          </cell>
          <cell r="H1163">
            <v>168600</v>
          </cell>
        </row>
        <row r="1164">
          <cell r="F1164" t="str">
            <v>Gypsum Board (122 cm x  244 cm x  12 mm)</v>
          </cell>
          <cell r="G1164" t="str">
            <v xml:space="preserve">Lembar </v>
          </cell>
          <cell r="H1164">
            <v>168600</v>
          </cell>
        </row>
        <row r="1165">
          <cell r="F1165" t="str">
            <v>Gypsum board (120 cm x 240 cm x 9 mm)</v>
          </cell>
          <cell r="G1165" t="str">
            <v>lembar</v>
          </cell>
          <cell r="H1165">
            <v>168600</v>
          </cell>
        </row>
        <row r="1166">
          <cell r="F1166" t="str">
            <v>Rockwool tebal 50 mm</v>
          </cell>
          <cell r="G1166" t="str">
            <v>m2</v>
          </cell>
          <cell r="H1166">
            <v>290000</v>
          </cell>
        </row>
        <row r="1167">
          <cell r="F1167" t="str">
            <v>Lambersening plafon ˂3</v>
          </cell>
          <cell r="G1167" t="str">
            <v>m2</v>
          </cell>
          <cell r="H1167">
            <v>180000</v>
          </cell>
        </row>
        <row r="1168">
          <cell r="F1168" t="str">
            <v>Lambersening plafon ˃3</v>
          </cell>
          <cell r="G1168" t="str">
            <v>m2</v>
          </cell>
          <cell r="H1168">
            <v>200000</v>
          </cell>
        </row>
        <row r="1169">
          <cell r="F1169" t="str">
            <v>List gypsum profil</v>
          </cell>
          <cell r="G1169" t="str">
            <v>m'</v>
          </cell>
          <cell r="H1169">
            <v>44500</v>
          </cell>
        </row>
        <row r="1170">
          <cell r="F1170" t="str">
            <v>Listplank GRC lebar 20 cm</v>
          </cell>
          <cell r="G1170" t="str">
            <v>m'</v>
          </cell>
          <cell r="H1170">
            <v>23200</v>
          </cell>
        </row>
        <row r="1171">
          <cell r="F1171" t="str">
            <v>Listplank GRC lebar 30 cm</v>
          </cell>
          <cell r="G1171" t="str">
            <v>m'</v>
          </cell>
          <cell r="H1171">
            <v>30933.333333333332</v>
          </cell>
        </row>
        <row r="1172">
          <cell r="F1172" t="str">
            <v>Main tee</v>
          </cell>
          <cell r="G1172" t="str">
            <v>batang</v>
          </cell>
          <cell r="H1172" t="str">
            <v>X</v>
          </cell>
        </row>
        <row r="1173">
          <cell r="F1173" t="str">
            <v>Papan semen</v>
          </cell>
          <cell r="G1173" t="str">
            <v>m2</v>
          </cell>
          <cell r="H1173">
            <v>92500</v>
          </cell>
        </row>
        <row r="1174">
          <cell r="F1174" t="str">
            <v>Asbes gelombang</v>
          </cell>
          <cell r="G1174" t="str">
            <v>lembar</v>
          </cell>
          <cell r="H1174">
            <v>134100</v>
          </cell>
        </row>
        <row r="1175">
          <cell r="F1175" t="str">
            <v>Pelat  asbes  tebal 3,5 mm</v>
          </cell>
          <cell r="G1175" t="str">
            <v>lembar</v>
          </cell>
          <cell r="H1175">
            <v>125100</v>
          </cell>
        </row>
        <row r="1176">
          <cell r="F1176" t="str">
            <v>Pelat  asbes  tebal 4 mm</v>
          </cell>
          <cell r="G1176" t="str">
            <v>lembar</v>
          </cell>
          <cell r="H1176">
            <v>135700</v>
          </cell>
        </row>
        <row r="1177">
          <cell r="F1177" t="str">
            <v>Plafon akustik 30x30 cm</v>
          </cell>
          <cell r="G1177" t="str">
            <v>lembar</v>
          </cell>
          <cell r="H1177">
            <v>38200</v>
          </cell>
        </row>
        <row r="1178">
          <cell r="F1178" t="str">
            <v>Plafon akustik 30x60 cm</v>
          </cell>
          <cell r="G1178" t="str">
            <v>lembar</v>
          </cell>
          <cell r="H1178">
            <v>91900</v>
          </cell>
        </row>
        <row r="1179">
          <cell r="F1179" t="str">
            <v>Plafon akustik 60x120 cm</v>
          </cell>
          <cell r="G1179" t="str">
            <v>lembar</v>
          </cell>
          <cell r="H1179">
            <v>126500</v>
          </cell>
        </row>
        <row r="1180">
          <cell r="F1180" t="str">
            <v>Plafond PVC Lebar 20 cm</v>
          </cell>
          <cell r="G1180" t="str">
            <v>lembar</v>
          </cell>
          <cell r="H1180">
            <v>56200</v>
          </cell>
        </row>
        <row r="1181">
          <cell r="H1181" t="str">
            <v>X</v>
          </cell>
        </row>
        <row r="1182">
          <cell r="F1182" t="str">
            <v>Bata Ekspose Tempel warna natural 8x24x2 cm</v>
          </cell>
          <cell r="G1182" t="str">
            <v>m'</v>
          </cell>
          <cell r="H1182" t="str">
            <v>X</v>
          </cell>
        </row>
        <row r="1183">
          <cell r="F1183" t="str">
            <v>Bata tempel</v>
          </cell>
          <cell r="G1183" t="str">
            <v>buah</v>
          </cell>
          <cell r="H1183">
            <v>2200</v>
          </cell>
        </row>
        <row r="1184">
          <cell r="F1184" t="str">
            <v>Batako 20x40x10 cm</v>
          </cell>
          <cell r="G1184" t="str">
            <v>buah</v>
          </cell>
          <cell r="H1184" t="str">
            <v>X</v>
          </cell>
        </row>
        <row r="1185">
          <cell r="F1185" t="str">
            <v>Batu andesit  30x30 t=3cm</v>
          </cell>
          <cell r="G1185" t="str">
            <v>m2</v>
          </cell>
          <cell r="H1185" t="str">
            <v>X</v>
          </cell>
        </row>
        <row r="1186">
          <cell r="F1186" t="str">
            <v>Batu andesit  30x30 t=5cm</v>
          </cell>
          <cell r="G1186" t="str">
            <v>m2</v>
          </cell>
          <cell r="H1186" t="str">
            <v>X</v>
          </cell>
        </row>
        <row r="1187">
          <cell r="F1187" t="str">
            <v>Batu Paras</v>
          </cell>
          <cell r="G1187" t="str">
            <v>m2</v>
          </cell>
          <cell r="H1187">
            <v>163750</v>
          </cell>
        </row>
        <row r="1188">
          <cell r="F1188" t="str">
            <v>Batu Paros</v>
          </cell>
          <cell r="G1188" t="str">
            <v>m2</v>
          </cell>
          <cell r="H1188" t="str">
            <v>X</v>
          </cell>
        </row>
        <row r="1189">
          <cell r="F1189" t="str">
            <v>Batu tempel hitam</v>
          </cell>
          <cell r="G1189" t="str">
            <v>m2</v>
          </cell>
          <cell r="H1189">
            <v>201300</v>
          </cell>
        </row>
        <row r="1190">
          <cell r="F1190" t="str">
            <v>Abu Batu</v>
          </cell>
          <cell r="G1190" t="str">
            <v>m3</v>
          </cell>
          <cell r="H1190">
            <v>437500</v>
          </cell>
        </row>
        <row r="1191">
          <cell r="F1191" t="str">
            <v>Floor hardener</v>
          </cell>
          <cell r="G1191" t="str">
            <v>kg</v>
          </cell>
          <cell r="H1191">
            <v>134200</v>
          </cell>
        </row>
        <row r="1192">
          <cell r="F1192" t="str">
            <v>Flooring Kayu Kruing   1,5x13,5x60 cm</v>
          </cell>
          <cell r="G1192" t="str">
            <v>m2</v>
          </cell>
          <cell r="H1192" t="str">
            <v>X</v>
          </cell>
        </row>
        <row r="1193">
          <cell r="F1193" t="str">
            <v>Flooring Kayu Merbau 1,5x9x30cm</v>
          </cell>
          <cell r="G1193" t="str">
            <v>m2</v>
          </cell>
          <cell r="H1193" t="str">
            <v>X</v>
          </cell>
        </row>
        <row r="1194">
          <cell r="F1194" t="str">
            <v>Flooring Kayu Sonokeling Grade B  1,5x9x30cm</v>
          </cell>
          <cell r="G1194" t="str">
            <v>m2</v>
          </cell>
          <cell r="H1194" t="str">
            <v>X</v>
          </cell>
        </row>
        <row r="1195">
          <cell r="F1195" t="str">
            <v>Granit  bakar 10x10, t=2cm</v>
          </cell>
          <cell r="G1195" t="str">
            <v>m2</v>
          </cell>
          <cell r="H1195">
            <v>139600</v>
          </cell>
        </row>
        <row r="1196">
          <cell r="F1196" t="str">
            <v>Granit  bakar 30x30, t=2cm</v>
          </cell>
          <cell r="G1196" t="str">
            <v>m2</v>
          </cell>
          <cell r="H1196">
            <v>513500</v>
          </cell>
        </row>
        <row r="1197">
          <cell r="F1197" t="str">
            <v>Granit  tile unpolish /  anti skid</v>
          </cell>
          <cell r="G1197" t="str">
            <v>m2</v>
          </cell>
          <cell r="H1197">
            <v>423500</v>
          </cell>
        </row>
        <row r="1198">
          <cell r="F1198" t="str">
            <v>Granit tile 30x30 cm (double loading)</v>
          </cell>
          <cell r="G1198" t="str">
            <v>buah</v>
          </cell>
          <cell r="H1198" t="str">
            <v>X</v>
          </cell>
        </row>
        <row r="1199">
          <cell r="F1199" t="str">
            <v>Granit tile 40x40 cm (double loading)</v>
          </cell>
          <cell r="G1199" t="str">
            <v>buah</v>
          </cell>
          <cell r="H1199" t="str">
            <v>X</v>
          </cell>
        </row>
        <row r="1200">
          <cell r="F1200" t="str">
            <v>Granit tile 60x60 cm (double loading)</v>
          </cell>
          <cell r="G1200" t="str">
            <v>buah</v>
          </cell>
          <cell r="H1200" t="str">
            <v>X</v>
          </cell>
        </row>
        <row r="1201">
          <cell r="F1201" t="str">
            <v>Granito  30 x  30 cm</v>
          </cell>
          <cell r="G1201" t="str">
            <v>m2</v>
          </cell>
          <cell r="H1201" t="str">
            <v>X</v>
          </cell>
        </row>
        <row r="1202">
          <cell r="F1202" t="str">
            <v>Granito  40 x  40 cm</v>
          </cell>
          <cell r="G1202" t="str">
            <v>m2</v>
          </cell>
          <cell r="H1202" t="str">
            <v>X</v>
          </cell>
        </row>
        <row r="1203">
          <cell r="F1203" t="str">
            <v>Guiding Block Warna t  =  6 cm</v>
          </cell>
          <cell r="G1203" t="str">
            <v>m2</v>
          </cell>
          <cell r="H1203" t="str">
            <v>X</v>
          </cell>
        </row>
        <row r="1204">
          <cell r="F1204" t="str">
            <v>Homogenous tile 30x30 cm</v>
          </cell>
          <cell r="G1204" t="str">
            <v>buah</v>
          </cell>
          <cell r="H1204" t="str">
            <v>X</v>
          </cell>
        </row>
        <row r="1205">
          <cell r="F1205" t="str">
            <v>Homogenous tile 40x40 cm</v>
          </cell>
          <cell r="G1205" t="str">
            <v>buah</v>
          </cell>
          <cell r="H1205">
            <v>22832.000000000004</v>
          </cell>
        </row>
        <row r="1206">
          <cell r="F1206" t="str">
            <v>Homogenous tile 60x60 cm</v>
          </cell>
          <cell r="G1206" t="str">
            <v>buah</v>
          </cell>
          <cell r="H1206">
            <v>79956</v>
          </cell>
        </row>
        <row r="1207">
          <cell r="F1207" t="str">
            <v>Homogenous tile unpolish 30x30 cm</v>
          </cell>
          <cell r="G1207" t="str">
            <v>buah</v>
          </cell>
          <cell r="H1207">
            <v>35291.666666666664</v>
          </cell>
        </row>
        <row r="1208">
          <cell r="F1208" t="str">
            <v>Homogenous tile unpolish 40x40 cm</v>
          </cell>
          <cell r="G1208" t="str">
            <v>buah</v>
          </cell>
          <cell r="H1208">
            <v>55000</v>
          </cell>
        </row>
        <row r="1209">
          <cell r="F1209" t="str">
            <v>Homogenous tile unpolish 60x60 cm</v>
          </cell>
          <cell r="G1209" t="str">
            <v>buah</v>
          </cell>
          <cell r="H1209">
            <v>105000</v>
          </cell>
        </row>
        <row r="1210">
          <cell r="F1210" t="str">
            <v>Homogenous tile dinding 30x30 cm</v>
          </cell>
          <cell r="G1210" t="str">
            <v>buah</v>
          </cell>
          <cell r="H1210">
            <v>25000</v>
          </cell>
        </row>
        <row r="1211">
          <cell r="F1211" t="str">
            <v>Homogenous tile dinding 40x40 cm</v>
          </cell>
          <cell r="G1211" t="str">
            <v>buah</v>
          </cell>
          <cell r="H1211">
            <v>50000</v>
          </cell>
        </row>
        <row r="1212">
          <cell r="F1212" t="str">
            <v>Homogenous tile dinding 60x60 cm</v>
          </cell>
          <cell r="G1212" t="str">
            <v>buah</v>
          </cell>
          <cell r="H1212">
            <v>140000</v>
          </cell>
        </row>
        <row r="1213">
          <cell r="F1213" t="str">
            <v>Karpet</v>
          </cell>
          <cell r="G1213" t="str">
            <v>m2</v>
          </cell>
          <cell r="H1213">
            <v>104900</v>
          </cell>
        </row>
        <row r="1214">
          <cell r="F1214" t="str">
            <v>Keramik  20  x 25  cm</v>
          </cell>
          <cell r="G1214" t="str">
            <v>buah</v>
          </cell>
          <cell r="H1214" t="str">
            <v>X</v>
          </cell>
        </row>
        <row r="1215">
          <cell r="F1215" t="str">
            <v>Keramik 10 x  20 cm</v>
          </cell>
          <cell r="G1215" t="str">
            <v>buah</v>
          </cell>
          <cell r="H1215" t="str">
            <v>X</v>
          </cell>
        </row>
        <row r="1216">
          <cell r="F1216" t="str">
            <v>Keramik 20x20 cm</v>
          </cell>
          <cell r="G1216" t="str">
            <v>buah</v>
          </cell>
          <cell r="H1216">
            <v>5400</v>
          </cell>
        </row>
        <row r="1217">
          <cell r="F1217" t="str">
            <v>Keramik 25 x  25 cm</v>
          </cell>
          <cell r="G1217" t="str">
            <v>buah</v>
          </cell>
          <cell r="H1217" t="str">
            <v>X</v>
          </cell>
        </row>
        <row r="1218">
          <cell r="F1218" t="str">
            <v>Keramik 30x30 cm</v>
          </cell>
          <cell r="G1218" t="str">
            <v>buah</v>
          </cell>
          <cell r="H1218">
            <v>13900</v>
          </cell>
        </row>
        <row r="1219">
          <cell r="F1219" t="str">
            <v>Keramik 40x40 cm</v>
          </cell>
          <cell r="G1219" t="str">
            <v>buah</v>
          </cell>
          <cell r="H1219">
            <v>21000</v>
          </cell>
        </row>
        <row r="1220">
          <cell r="F1220" t="str">
            <v>Keramik 60x60 cm</v>
          </cell>
          <cell r="G1220" t="str">
            <v>buah</v>
          </cell>
          <cell r="H1220">
            <v>104316.54676258993</v>
          </cell>
        </row>
        <row r="1221">
          <cell r="F1221" t="str">
            <v>Keramik Variasi 30x30 cm</v>
          </cell>
          <cell r="G1221" t="str">
            <v>buah</v>
          </cell>
          <cell r="H1221">
            <v>42300</v>
          </cell>
        </row>
        <row r="1222">
          <cell r="F1222" t="str">
            <v>Keramik Variasi 40x40 cm</v>
          </cell>
          <cell r="G1222" t="str">
            <v>buah</v>
          </cell>
          <cell r="H1222">
            <v>54500</v>
          </cell>
        </row>
        <row r="1223">
          <cell r="F1223" t="str">
            <v>KeramikVariasi  60x60 cm</v>
          </cell>
          <cell r="G1223" t="str">
            <v>buah</v>
          </cell>
          <cell r="H1223">
            <v>93129.496402877703</v>
          </cell>
        </row>
        <row r="1224">
          <cell r="F1224" t="str">
            <v>Step Nosing Keramik 10x60 cm</v>
          </cell>
          <cell r="G1224" t="str">
            <v xml:space="preserve">buah </v>
          </cell>
          <cell r="H1224">
            <v>36400</v>
          </cell>
        </row>
        <row r="1225">
          <cell r="F1225" t="str">
            <v xml:space="preserve">Keramik Tactile 30x30 cm </v>
          </cell>
          <cell r="G1225" t="str">
            <v xml:space="preserve">buah </v>
          </cell>
          <cell r="H1225" t="str">
            <v>X</v>
          </cell>
        </row>
        <row r="1226">
          <cell r="F1226" t="str">
            <v>Keramik Tactile 40x40 cm</v>
          </cell>
          <cell r="G1226" t="str">
            <v xml:space="preserve">buah </v>
          </cell>
          <cell r="H1226" t="str">
            <v>X</v>
          </cell>
        </row>
        <row r="1227">
          <cell r="F1227" t="str">
            <v>Keramik artistik 10x10 cm</v>
          </cell>
          <cell r="G1227" t="str">
            <v>buah</v>
          </cell>
          <cell r="H1227">
            <v>3100</v>
          </cell>
        </row>
        <row r="1228">
          <cell r="F1228" t="str">
            <v>Keramik artistik 20x20 cm</v>
          </cell>
          <cell r="G1228" t="str">
            <v>buah</v>
          </cell>
          <cell r="H1228">
            <v>3100</v>
          </cell>
        </row>
        <row r="1229">
          <cell r="F1229" t="str">
            <v>Keramik artistik 30x30 cm</v>
          </cell>
          <cell r="G1229" t="str">
            <v>buah</v>
          </cell>
          <cell r="H1229">
            <v>5000</v>
          </cell>
        </row>
        <row r="1230">
          <cell r="F1230" t="str">
            <v>Keramik artistik 40x40 cm</v>
          </cell>
          <cell r="G1230" t="str">
            <v>buah</v>
          </cell>
          <cell r="H1230">
            <v>15200</v>
          </cell>
        </row>
        <row r="1231">
          <cell r="F1231" t="str">
            <v>Keramik artistik 8x8 cm</v>
          </cell>
          <cell r="G1231" t="str">
            <v>buah</v>
          </cell>
          <cell r="H1231">
            <v>7400</v>
          </cell>
        </row>
        <row r="1232">
          <cell r="F1232" t="str">
            <v>Keramik cuting 50x50</v>
          </cell>
          <cell r="G1232" t="str">
            <v>buah</v>
          </cell>
          <cell r="H1232" t="str">
            <v>X</v>
          </cell>
        </row>
        <row r="1233">
          <cell r="F1233" t="str">
            <v>Keramik dinding 10x20 cm</v>
          </cell>
          <cell r="G1233" t="str">
            <v>buah</v>
          </cell>
          <cell r="H1233">
            <v>8170</v>
          </cell>
        </row>
        <row r="1234">
          <cell r="F1234" t="str">
            <v>Keramik dinding 20x20 cm</v>
          </cell>
          <cell r="G1234" t="str">
            <v>buah</v>
          </cell>
          <cell r="H1234">
            <v>4998</v>
          </cell>
        </row>
        <row r="1235">
          <cell r="F1235" t="str">
            <v>Keramik dinding artistik 10x20 cm</v>
          </cell>
          <cell r="G1235" t="str">
            <v>buah</v>
          </cell>
          <cell r="H1235">
            <v>11300</v>
          </cell>
        </row>
        <row r="1236">
          <cell r="F1236" t="str">
            <v>Keramik dinding artistik 5x20 cm</v>
          </cell>
          <cell r="G1236" t="str">
            <v>buah</v>
          </cell>
          <cell r="H1236">
            <v>7400</v>
          </cell>
        </row>
        <row r="1237">
          <cell r="F1237" t="str">
            <v>Lamparquet  Kayu Merbau 1x6x20cm</v>
          </cell>
          <cell r="G1237" t="str">
            <v>m2</v>
          </cell>
          <cell r="H1237" t="str">
            <v>X</v>
          </cell>
        </row>
        <row r="1238">
          <cell r="F1238" t="str">
            <v>Lamparquet  Kayu Merbau 1x9x20cm</v>
          </cell>
          <cell r="G1238" t="str">
            <v>m2</v>
          </cell>
          <cell r="H1238" t="str">
            <v>X</v>
          </cell>
        </row>
        <row r="1239">
          <cell r="F1239" t="str">
            <v>Lantai engineering wood</v>
          </cell>
          <cell r="G1239" t="str">
            <v>m2</v>
          </cell>
          <cell r="H1239" t="str">
            <v>X</v>
          </cell>
        </row>
        <row r="1240">
          <cell r="F1240" t="str">
            <v>Lantai Parket  Jati grade A   1,2x5x17 cm</v>
          </cell>
          <cell r="G1240" t="str">
            <v>m2</v>
          </cell>
          <cell r="H1240" t="str">
            <v>X</v>
          </cell>
        </row>
        <row r="1241">
          <cell r="F1241" t="str">
            <v>Lantai Parket  Jati grade A   1,2x5x20cm</v>
          </cell>
          <cell r="G1241" t="str">
            <v>m2</v>
          </cell>
          <cell r="H1241" t="str">
            <v>X</v>
          </cell>
        </row>
        <row r="1242">
          <cell r="F1242" t="str">
            <v>Lantai Parket  Jati grade A   1,2x5x25 cm</v>
          </cell>
          <cell r="G1242" t="str">
            <v>m2</v>
          </cell>
          <cell r="H1242" t="str">
            <v>X</v>
          </cell>
        </row>
        <row r="1243">
          <cell r="F1243" t="str">
            <v>Lantai Parket  Jati grade A   1,2x5x30 cm</v>
          </cell>
          <cell r="G1243" t="str">
            <v>m2</v>
          </cell>
          <cell r="H1243" t="str">
            <v>X</v>
          </cell>
        </row>
        <row r="1244">
          <cell r="F1244" t="str">
            <v>Lantai Parket  Jati grade B   1,2x5x17 cm</v>
          </cell>
          <cell r="G1244" t="str">
            <v>m2</v>
          </cell>
          <cell r="H1244" t="str">
            <v>X</v>
          </cell>
        </row>
        <row r="1245">
          <cell r="F1245" t="str">
            <v>Lantai Parket  Jati grade B   1,2x5x20cm</v>
          </cell>
          <cell r="G1245" t="str">
            <v>m2</v>
          </cell>
          <cell r="H1245" t="str">
            <v>X</v>
          </cell>
        </row>
        <row r="1246">
          <cell r="F1246" t="str">
            <v>Lantai Parket  Jati grade B   1,2x5x25 cm</v>
          </cell>
          <cell r="G1246" t="str">
            <v>m2</v>
          </cell>
          <cell r="H1246" t="str">
            <v>X</v>
          </cell>
        </row>
        <row r="1247">
          <cell r="F1247" t="str">
            <v>Lantai Parket  Jati grade B   1,2x5x30 cm</v>
          </cell>
          <cell r="G1247" t="str">
            <v>m2</v>
          </cell>
          <cell r="H1247" t="str">
            <v>X</v>
          </cell>
        </row>
        <row r="1248">
          <cell r="F1248" t="str">
            <v>Lantai Parket  Jati grade C   1,2x5x20cm</v>
          </cell>
          <cell r="G1248" t="str">
            <v>m2</v>
          </cell>
          <cell r="H1248" t="str">
            <v>X</v>
          </cell>
        </row>
        <row r="1249">
          <cell r="F1249" t="str">
            <v>Lantai Parket  Jati grade C   1,2x5x25 cm</v>
          </cell>
          <cell r="G1249" t="str">
            <v>m2</v>
          </cell>
          <cell r="H1249" t="str">
            <v>X</v>
          </cell>
        </row>
        <row r="1250">
          <cell r="F1250" t="str">
            <v>Lantai Parket  Jati grade C   1,2x5x30 cm</v>
          </cell>
          <cell r="G1250" t="str">
            <v>m2</v>
          </cell>
          <cell r="H1250" t="str">
            <v>X</v>
          </cell>
        </row>
        <row r="1251">
          <cell r="F1251" t="str">
            <v>Lem</v>
          </cell>
          <cell r="G1251" t="str">
            <v>kg</v>
          </cell>
          <cell r="H1251">
            <v>67600</v>
          </cell>
        </row>
        <row r="1252">
          <cell r="F1252" t="str">
            <v>Marmer</v>
          </cell>
          <cell r="G1252" t="str">
            <v>buah</v>
          </cell>
          <cell r="H1252">
            <v>623900</v>
          </cell>
        </row>
        <row r="1253">
          <cell r="F1253" t="str">
            <v>Marmer</v>
          </cell>
          <cell r="G1253" t="str">
            <v>m2</v>
          </cell>
          <cell r="H1253">
            <v>584000</v>
          </cell>
        </row>
        <row r="1254">
          <cell r="F1254" t="str">
            <v>Marmer Graphir 10x10 cm</v>
          </cell>
          <cell r="G1254" t="str">
            <v>buah</v>
          </cell>
          <cell r="H1254">
            <v>78700</v>
          </cell>
        </row>
        <row r="1255">
          <cell r="F1255" t="str">
            <v>Marmer Graphir 12x12 cm</v>
          </cell>
          <cell r="G1255" t="str">
            <v>buah</v>
          </cell>
          <cell r="H1255">
            <v>110500</v>
          </cell>
        </row>
        <row r="1256">
          <cell r="F1256" t="str">
            <v>Pen Kuningan titik acuan</v>
          </cell>
          <cell r="G1256" t="str">
            <v xml:space="preserve">buah </v>
          </cell>
          <cell r="H1256">
            <v>69600</v>
          </cell>
        </row>
        <row r="1257">
          <cell r="F1257" t="str">
            <v>Mozaik porselen 10 x  20 cm</v>
          </cell>
          <cell r="G1257" t="str">
            <v>m2</v>
          </cell>
          <cell r="H1257" t="str">
            <v>X</v>
          </cell>
        </row>
        <row r="1258">
          <cell r="F1258" t="str">
            <v>Mozaik porselen 15 x  15 cm</v>
          </cell>
          <cell r="G1258" t="str">
            <v>m2</v>
          </cell>
          <cell r="H1258" t="str">
            <v>X</v>
          </cell>
        </row>
        <row r="1259">
          <cell r="F1259" t="str">
            <v>Mozaik porselen 20 x  20 cm</v>
          </cell>
          <cell r="G1259" t="str">
            <v>m2</v>
          </cell>
          <cell r="H1259" t="str">
            <v>X</v>
          </cell>
        </row>
        <row r="1260">
          <cell r="F1260" t="str">
            <v>Mozaik porselen 20 x  25 cm</v>
          </cell>
          <cell r="G1260" t="str">
            <v>m2</v>
          </cell>
          <cell r="H1260" t="str">
            <v>X</v>
          </cell>
        </row>
        <row r="1261">
          <cell r="F1261" t="str">
            <v>Parquet kayu solid</v>
          </cell>
          <cell r="G1261" t="str">
            <v>m2</v>
          </cell>
          <cell r="H1261">
            <v>367000</v>
          </cell>
        </row>
        <row r="1262">
          <cell r="F1262" t="str">
            <v>Plint  Kayu 10 cm</v>
          </cell>
          <cell r="G1262" t="str">
            <v>buah</v>
          </cell>
          <cell r="H1262" t="str">
            <v>X</v>
          </cell>
        </row>
        <row r="1263">
          <cell r="F1263" t="str">
            <v>Plint  keramik 10 x  20 cm</v>
          </cell>
          <cell r="G1263" t="str">
            <v>buah</v>
          </cell>
          <cell r="H1263">
            <v>23200</v>
          </cell>
        </row>
        <row r="1264">
          <cell r="F1264" t="str">
            <v>Plint  keramik 5 x  20 cm</v>
          </cell>
          <cell r="G1264" t="str">
            <v>buah</v>
          </cell>
          <cell r="H1264">
            <v>50000</v>
          </cell>
        </row>
        <row r="1265">
          <cell r="F1265" t="str">
            <v>Plint granit 10 cm x 40 cm</v>
          </cell>
          <cell r="G1265" t="str">
            <v>buah</v>
          </cell>
          <cell r="H1265">
            <v>54800</v>
          </cell>
        </row>
        <row r="1266">
          <cell r="F1266" t="str">
            <v>Plint granit 10cm x 30cm</v>
          </cell>
          <cell r="G1266" t="str">
            <v>buah</v>
          </cell>
          <cell r="H1266">
            <v>55700</v>
          </cell>
        </row>
        <row r="1267">
          <cell r="F1267" t="str">
            <v>Plint homogenous tile uk. 10-15x30 cm</v>
          </cell>
          <cell r="G1267" t="str">
            <v>buah</v>
          </cell>
          <cell r="H1267" t="str">
            <v>X</v>
          </cell>
        </row>
        <row r="1268">
          <cell r="F1268" t="str">
            <v>Plint homogenous tile uk. 10-15x40 cm</v>
          </cell>
          <cell r="G1268" t="str">
            <v>buah</v>
          </cell>
          <cell r="H1268" t="str">
            <v>X</v>
          </cell>
        </row>
        <row r="1269">
          <cell r="F1269" t="str">
            <v>Plint homogenous tile uk. 10-15x60 cm</v>
          </cell>
          <cell r="G1269" t="str">
            <v>buah</v>
          </cell>
          <cell r="H1269" t="str">
            <v>X</v>
          </cell>
        </row>
        <row r="1270">
          <cell r="F1270" t="str">
            <v>Plint homogenous tile unpolish uk. 10-15x30 cm</v>
          </cell>
          <cell r="G1270" t="str">
            <v>buah</v>
          </cell>
          <cell r="H1270" t="str">
            <v>X</v>
          </cell>
        </row>
        <row r="1271">
          <cell r="F1271" t="str">
            <v>Plint homogenous tile unpolish uk. 10-15x40 cm</v>
          </cell>
          <cell r="G1271" t="str">
            <v>buah</v>
          </cell>
          <cell r="H1271" t="str">
            <v>X</v>
          </cell>
        </row>
        <row r="1272">
          <cell r="F1272" t="str">
            <v>Plint homogenous tile unpolish uk. 10-15x60 cm</v>
          </cell>
          <cell r="G1272" t="str">
            <v>buah</v>
          </cell>
          <cell r="H1272" t="str">
            <v>X</v>
          </cell>
        </row>
        <row r="1273">
          <cell r="F1273" t="str">
            <v>Plint internal cove uk. 5x5x20 cm</v>
          </cell>
          <cell r="G1273" t="str">
            <v>buah</v>
          </cell>
          <cell r="H1273" t="str">
            <v>X</v>
          </cell>
        </row>
        <row r="1274">
          <cell r="F1274" t="str">
            <v>Plint keramik  10  x 30  cm</v>
          </cell>
          <cell r="G1274" t="str">
            <v>buah</v>
          </cell>
          <cell r="H1274">
            <v>28300</v>
          </cell>
        </row>
        <row r="1275">
          <cell r="F1275" t="str">
            <v>Plint keramik uk. 10-15x20 cm</v>
          </cell>
          <cell r="G1275" t="str">
            <v>buah</v>
          </cell>
          <cell r="H1275">
            <v>23200</v>
          </cell>
        </row>
        <row r="1276">
          <cell r="F1276" t="str">
            <v>Plint keramik uk. 10-15x30 cm</v>
          </cell>
          <cell r="G1276" t="str">
            <v>buah</v>
          </cell>
          <cell r="H1276">
            <v>56400</v>
          </cell>
        </row>
        <row r="1277">
          <cell r="F1277" t="str">
            <v>Plint keramik uk. 10-15x40 cm</v>
          </cell>
          <cell r="G1277" t="str">
            <v>buah</v>
          </cell>
          <cell r="H1277">
            <v>78400</v>
          </cell>
        </row>
        <row r="1278">
          <cell r="F1278" t="str">
            <v>Plint keramik uk. 10-15x60 cm</v>
          </cell>
          <cell r="G1278" t="str">
            <v>buah</v>
          </cell>
          <cell r="H1278" t="str">
            <v>X</v>
          </cell>
        </row>
        <row r="1279">
          <cell r="F1279" t="str">
            <v>Plint teralux kerang uk. 10-15x30 cm</v>
          </cell>
          <cell r="G1279" t="str">
            <v>buah</v>
          </cell>
          <cell r="H1279">
            <v>12500</v>
          </cell>
        </row>
        <row r="1280">
          <cell r="F1280" t="str">
            <v>Plint teralux kerang uk. 10-15x40 cm</v>
          </cell>
          <cell r="G1280" t="str">
            <v>buah</v>
          </cell>
          <cell r="H1280">
            <v>12900</v>
          </cell>
        </row>
        <row r="1281">
          <cell r="F1281" t="str">
            <v>Plint teralux kerang uk. 10-15x60 cm</v>
          </cell>
          <cell r="G1281" t="str">
            <v>buah</v>
          </cell>
          <cell r="H1281" t="str">
            <v>X</v>
          </cell>
        </row>
        <row r="1282">
          <cell r="F1282" t="str">
            <v>Plint teralux marmer uk. 10-15x30 cm</v>
          </cell>
          <cell r="G1282" t="str">
            <v>buah</v>
          </cell>
          <cell r="H1282">
            <v>36400</v>
          </cell>
        </row>
        <row r="1283">
          <cell r="F1283" t="str">
            <v>Plint teralux marmer uk. 10-15x40 cm</v>
          </cell>
          <cell r="G1283" t="str">
            <v>buah</v>
          </cell>
          <cell r="H1283">
            <v>46600</v>
          </cell>
        </row>
        <row r="1284">
          <cell r="F1284" t="str">
            <v>Plint teralux marmer uk. 10-15x60 cm</v>
          </cell>
          <cell r="G1284" t="str">
            <v>buah</v>
          </cell>
          <cell r="H1284">
            <v>77700</v>
          </cell>
        </row>
        <row r="1285">
          <cell r="F1285" t="str">
            <v>Plint ubin granit uk. 10-15x30 cm</v>
          </cell>
          <cell r="G1285" t="str">
            <v>buah</v>
          </cell>
          <cell r="H1285">
            <v>55700</v>
          </cell>
        </row>
        <row r="1286">
          <cell r="F1286" t="str">
            <v>Plint ubin granit uk. 10-15x40 cm</v>
          </cell>
          <cell r="G1286" t="str">
            <v>buah</v>
          </cell>
          <cell r="H1286">
            <v>79000</v>
          </cell>
        </row>
        <row r="1287">
          <cell r="F1287" t="str">
            <v>Plint ubin granit uk. 10-15x60 cm</v>
          </cell>
          <cell r="G1287" t="str">
            <v>buah</v>
          </cell>
          <cell r="H1287">
            <v>79000</v>
          </cell>
        </row>
        <row r="1288">
          <cell r="F1288" t="str">
            <v>Plint ubin PC abu-abu uk. 10-15x20 cm</v>
          </cell>
          <cell r="G1288" t="str">
            <v>buah</v>
          </cell>
          <cell r="H1288">
            <v>3100</v>
          </cell>
        </row>
        <row r="1289">
          <cell r="F1289" t="str">
            <v>Plint ubin PC abu-abu uk. 10-15x30 cm</v>
          </cell>
          <cell r="G1289" t="str">
            <v>buah</v>
          </cell>
          <cell r="H1289">
            <v>3100</v>
          </cell>
        </row>
        <row r="1290">
          <cell r="F1290" t="str">
            <v>Plint ubin PC abu-abu uk. 10-15x40 cm</v>
          </cell>
          <cell r="G1290" t="str">
            <v>buah</v>
          </cell>
          <cell r="H1290">
            <v>3100</v>
          </cell>
        </row>
        <row r="1291">
          <cell r="F1291" t="str">
            <v>Plint ubin PC abu-abu uk. 10-15x60 cm</v>
          </cell>
          <cell r="G1291" t="str">
            <v>buah</v>
          </cell>
          <cell r="H1291">
            <v>3100</v>
          </cell>
        </row>
        <row r="1292">
          <cell r="F1292" t="str">
            <v>Plint ubin teraso uk. 10-15x30 cm</v>
          </cell>
          <cell r="G1292" t="str">
            <v>buah</v>
          </cell>
          <cell r="H1292">
            <v>15700</v>
          </cell>
        </row>
        <row r="1293">
          <cell r="F1293" t="str">
            <v>Plint ubin teraso uk. 10-15x40 cm</v>
          </cell>
          <cell r="G1293" t="str">
            <v>buah</v>
          </cell>
          <cell r="H1293">
            <v>15700</v>
          </cell>
        </row>
        <row r="1294">
          <cell r="F1294" t="str">
            <v>Plint ubin warna uk. 10-15x20 cm</v>
          </cell>
          <cell r="G1294" t="str">
            <v>buah</v>
          </cell>
          <cell r="H1294">
            <v>8300</v>
          </cell>
        </row>
        <row r="1295">
          <cell r="F1295" t="str">
            <v>Plint ubin warna uk. 10-15x30 cm</v>
          </cell>
          <cell r="G1295" t="str">
            <v>buah</v>
          </cell>
          <cell r="H1295">
            <v>8300</v>
          </cell>
        </row>
        <row r="1296">
          <cell r="F1296" t="str">
            <v>Plint ubin warna uk. 10-15x40 cm</v>
          </cell>
          <cell r="G1296" t="str">
            <v>buah</v>
          </cell>
          <cell r="H1296">
            <v>11900</v>
          </cell>
        </row>
        <row r="1297">
          <cell r="F1297" t="str">
            <v>Plint ubin warna uk. 10-15x60 cm</v>
          </cell>
          <cell r="G1297" t="str">
            <v>buah</v>
          </cell>
          <cell r="H1297">
            <v>16200</v>
          </cell>
        </row>
        <row r="1298">
          <cell r="F1298" t="str">
            <v>Porselen 10x20 cm</v>
          </cell>
          <cell r="G1298" t="str">
            <v>buah</v>
          </cell>
          <cell r="H1298">
            <v>3200</v>
          </cell>
        </row>
        <row r="1299">
          <cell r="F1299" t="str">
            <v>Porselen 11x11 cm</v>
          </cell>
          <cell r="G1299" t="str">
            <v>buah</v>
          </cell>
          <cell r="H1299">
            <v>9900</v>
          </cell>
        </row>
        <row r="1300">
          <cell r="F1300" t="str">
            <v>Porselen 11x11 cm (dus)</v>
          </cell>
          <cell r="G1300" t="str">
            <v>dus</v>
          </cell>
          <cell r="H1300">
            <v>618800</v>
          </cell>
        </row>
        <row r="1301">
          <cell r="F1301" t="str">
            <v>Porselen 20x20 cm</v>
          </cell>
          <cell r="G1301" t="str">
            <v>buah</v>
          </cell>
          <cell r="H1301">
            <v>4000</v>
          </cell>
        </row>
        <row r="1302">
          <cell r="F1302" t="str">
            <v>Tangga Papan</v>
          </cell>
          <cell r="G1302" t="str">
            <v>m2</v>
          </cell>
          <cell r="H1302" t="str">
            <v>X</v>
          </cell>
        </row>
        <row r="1303">
          <cell r="F1303" t="str">
            <v>Tangga Parquet  /  Flooring</v>
          </cell>
          <cell r="G1303" t="str">
            <v>m2</v>
          </cell>
          <cell r="H1303" t="str">
            <v>X</v>
          </cell>
        </row>
        <row r="1304">
          <cell r="F1304" t="str">
            <v>Tegel plint, PC  abu-abu 15 x  20 cm</v>
          </cell>
          <cell r="G1304" t="str">
            <v>buah</v>
          </cell>
          <cell r="H1304" t="str">
            <v>X</v>
          </cell>
        </row>
        <row r="1305">
          <cell r="F1305" t="str">
            <v>Tegel plint, PC  warna 10 x  20 cm</v>
          </cell>
          <cell r="G1305" t="str">
            <v>buah</v>
          </cell>
          <cell r="H1305">
            <v>8300</v>
          </cell>
        </row>
        <row r="1306">
          <cell r="F1306" t="str">
            <v>Teraso cor</v>
          </cell>
          <cell r="G1306" t="str">
            <v>m3</v>
          </cell>
          <cell r="H1306">
            <v>437600</v>
          </cell>
        </row>
        <row r="1307">
          <cell r="F1307" t="str">
            <v>Ubin granit 30x30 cm</v>
          </cell>
          <cell r="G1307" t="str">
            <v>buah</v>
          </cell>
          <cell r="H1307">
            <v>37100</v>
          </cell>
        </row>
        <row r="1308">
          <cell r="F1308" t="str">
            <v>Ubin granit 40x40 cm</v>
          </cell>
          <cell r="G1308" t="str">
            <v>buah</v>
          </cell>
          <cell r="H1308">
            <v>93100</v>
          </cell>
        </row>
        <row r="1309">
          <cell r="F1309" t="str">
            <v>Ubin granit 60x60 cm</v>
          </cell>
          <cell r="G1309" t="str">
            <v>buah</v>
          </cell>
          <cell r="H1309" t="str">
            <v>X</v>
          </cell>
        </row>
        <row r="1310">
          <cell r="F1310" t="str">
            <v>Ubin PC abu-abu 20x20 cm</v>
          </cell>
          <cell r="G1310" t="str">
            <v>buah</v>
          </cell>
          <cell r="H1310">
            <v>3100</v>
          </cell>
        </row>
        <row r="1311">
          <cell r="F1311" t="str">
            <v>Ubin PC abu-abu 30x30 cm</v>
          </cell>
          <cell r="G1311" t="str">
            <v>buah</v>
          </cell>
          <cell r="H1311">
            <v>3100</v>
          </cell>
        </row>
        <row r="1312">
          <cell r="F1312" t="str">
            <v>Ubin PC abu-abu 40x40 cm</v>
          </cell>
          <cell r="G1312" t="str">
            <v>buah</v>
          </cell>
          <cell r="H1312">
            <v>3100</v>
          </cell>
        </row>
        <row r="1313">
          <cell r="F1313" t="str">
            <v>Ubin PC abu-abu 60x60 cm</v>
          </cell>
          <cell r="G1313" t="str">
            <v>buah</v>
          </cell>
          <cell r="H1313">
            <v>3100</v>
          </cell>
        </row>
        <row r="1314">
          <cell r="F1314" t="str">
            <v>Ubin porselen lokal 11 x  11 putih</v>
          </cell>
          <cell r="G1314" t="str">
            <v>dos</v>
          </cell>
          <cell r="H1314" t="str">
            <v>X</v>
          </cell>
        </row>
        <row r="1315">
          <cell r="F1315" t="str">
            <v>Ubin porselen lokal 11 x  11 warna</v>
          </cell>
          <cell r="G1315" t="str">
            <v>dos</v>
          </cell>
          <cell r="H1315" t="str">
            <v>X</v>
          </cell>
        </row>
        <row r="1316">
          <cell r="F1316" t="str">
            <v>Ubin porselen lokal 15 x  15 putih</v>
          </cell>
          <cell r="G1316" t="str">
            <v>dos</v>
          </cell>
          <cell r="H1316" t="str">
            <v>X</v>
          </cell>
        </row>
        <row r="1317">
          <cell r="F1317" t="str">
            <v>Ubin porselen lokal 15 x  15 warna</v>
          </cell>
          <cell r="G1317" t="str">
            <v>dos</v>
          </cell>
          <cell r="H1317" t="str">
            <v>X</v>
          </cell>
        </row>
        <row r="1318">
          <cell r="F1318" t="str">
            <v>Ubin teralux marmer 30x30 cm</v>
          </cell>
          <cell r="G1318" t="str">
            <v>buah</v>
          </cell>
          <cell r="H1318">
            <v>35552</v>
          </cell>
        </row>
        <row r="1319">
          <cell r="F1319" t="str">
            <v>Ubin teralux marmer 40x40 cm</v>
          </cell>
          <cell r="G1319" t="str">
            <v>buah</v>
          </cell>
          <cell r="H1319">
            <v>55000</v>
          </cell>
        </row>
        <row r="1320">
          <cell r="F1320" t="str">
            <v>Ubin teralux marmer 60x60 cm</v>
          </cell>
          <cell r="G1320" t="str">
            <v>buah</v>
          </cell>
          <cell r="H1320">
            <v>58660</v>
          </cell>
        </row>
        <row r="1321">
          <cell r="F1321" t="str">
            <v>Ubin teraso 30x30 cm</v>
          </cell>
          <cell r="G1321" t="str">
            <v>buah</v>
          </cell>
          <cell r="H1321">
            <v>61700</v>
          </cell>
        </row>
        <row r="1322">
          <cell r="F1322" t="str">
            <v>Ubin teraso 40x40 cm</v>
          </cell>
          <cell r="G1322" t="str">
            <v>buah</v>
          </cell>
          <cell r="H1322">
            <v>82700</v>
          </cell>
        </row>
        <row r="1323">
          <cell r="F1323" t="str">
            <v>Ubin warna 20x20 cm</v>
          </cell>
          <cell r="G1323" t="str">
            <v>buah</v>
          </cell>
          <cell r="H1323">
            <v>15200</v>
          </cell>
        </row>
        <row r="1324">
          <cell r="F1324" t="str">
            <v>Ubin warna 30x30 cm</v>
          </cell>
          <cell r="G1324" t="str">
            <v>buah</v>
          </cell>
          <cell r="H1324">
            <v>37100</v>
          </cell>
        </row>
        <row r="1325">
          <cell r="F1325" t="str">
            <v>Ubin warna 40x40 cm</v>
          </cell>
          <cell r="G1325" t="str">
            <v>buah</v>
          </cell>
          <cell r="H1325">
            <v>54500</v>
          </cell>
        </row>
        <row r="1326">
          <cell r="F1326" t="str">
            <v>Ubin warna 60x60 cm</v>
          </cell>
          <cell r="G1326" t="str">
            <v>buah</v>
          </cell>
          <cell r="H1326" t="str">
            <v>X</v>
          </cell>
        </row>
        <row r="1327">
          <cell r="F1327" t="str">
            <v>Underlayer karpet</v>
          </cell>
          <cell r="G1327" t="str">
            <v>m2</v>
          </cell>
          <cell r="H1327">
            <v>182500</v>
          </cell>
        </row>
        <row r="1328">
          <cell r="F1328" t="str">
            <v>UPVC decking</v>
          </cell>
          <cell r="G1328" t="str">
            <v>m2</v>
          </cell>
          <cell r="H1328" t="str">
            <v>X</v>
          </cell>
        </row>
        <row r="1329">
          <cell r="F1329" t="str">
            <v>Vinyl</v>
          </cell>
          <cell r="G1329" t="str">
            <v>buah</v>
          </cell>
          <cell r="H1329">
            <v>40800</v>
          </cell>
        </row>
        <row r="1330">
          <cell r="H1330" t="str">
            <v>X</v>
          </cell>
        </row>
        <row r="1331">
          <cell r="F1331" t="str">
            <v>Additive</v>
          </cell>
          <cell r="G1331" t="str">
            <v>liter</v>
          </cell>
          <cell r="H1331">
            <v>63900</v>
          </cell>
        </row>
        <row r="1332">
          <cell r="F1332" t="str">
            <v xml:space="preserve">Zat Aditif </v>
          </cell>
          <cell r="G1332" t="str">
            <v xml:space="preserve">kg </v>
          </cell>
          <cell r="H1332" t="str">
            <v>X</v>
          </cell>
        </row>
        <row r="1333">
          <cell r="F1333" t="str">
            <v>Floor lantai (Beton lantai kerja)</v>
          </cell>
          <cell r="G1333" t="str">
            <v>m3</v>
          </cell>
          <cell r="H1333">
            <v>1458500</v>
          </cell>
        </row>
        <row r="1334">
          <cell r="F1334" t="str">
            <v>Lantai Kerja</v>
          </cell>
          <cell r="G1334" t="str">
            <v>m3</v>
          </cell>
          <cell r="H1334">
            <v>1458500</v>
          </cell>
        </row>
        <row r="1335">
          <cell r="F1335" t="str">
            <v>Adukan beton berpori (Aggregat  10/20mm) ready mix</v>
          </cell>
          <cell r="G1335" t="str">
            <v>m3</v>
          </cell>
          <cell r="H1335" t="str">
            <v>X</v>
          </cell>
        </row>
        <row r="1336">
          <cell r="F1336" t="str">
            <v>Adukan beton K-100 ready mix</v>
          </cell>
          <cell r="G1336" t="str">
            <v>m3</v>
          </cell>
          <cell r="H1336" t="str">
            <v>X</v>
          </cell>
        </row>
        <row r="1337">
          <cell r="F1337" t="str">
            <v>Adukan beton K-125 ready mix</v>
          </cell>
          <cell r="G1337" t="str">
            <v>m3</v>
          </cell>
          <cell r="H1337" t="str">
            <v>X</v>
          </cell>
        </row>
        <row r="1338">
          <cell r="F1338" t="str">
            <v>Adukan beton K-175 ready mix</v>
          </cell>
          <cell r="G1338" t="str">
            <v>m3</v>
          </cell>
          <cell r="H1338" t="str">
            <v>X</v>
          </cell>
        </row>
        <row r="1339">
          <cell r="F1339" t="str">
            <v>Adukan beton K-200 ready mix</v>
          </cell>
          <cell r="G1339" t="str">
            <v>m3</v>
          </cell>
          <cell r="H1339" t="str">
            <v>X</v>
          </cell>
        </row>
        <row r="1340">
          <cell r="F1340" t="str">
            <v>Adukan beton K-225 ready mix</v>
          </cell>
          <cell r="G1340" t="str">
            <v>m3</v>
          </cell>
          <cell r="H1340" t="str">
            <v>X</v>
          </cell>
        </row>
        <row r="1341">
          <cell r="F1341" t="str">
            <v>Adukan beton K-250 ready mix</v>
          </cell>
          <cell r="G1341" t="str">
            <v>m3</v>
          </cell>
          <cell r="H1341">
            <v>1006600</v>
          </cell>
        </row>
        <row r="1342">
          <cell r="F1342" t="str">
            <v>Adukan beton K-275 ready mix</v>
          </cell>
          <cell r="G1342" t="str">
            <v>m3</v>
          </cell>
          <cell r="H1342" t="str">
            <v>X</v>
          </cell>
        </row>
        <row r="1343">
          <cell r="F1343" t="str">
            <v>Adukan beton K-300 ready mix</v>
          </cell>
          <cell r="G1343" t="str">
            <v>m3</v>
          </cell>
          <cell r="H1343" t="str">
            <v>X</v>
          </cell>
        </row>
        <row r="1344">
          <cell r="F1344" t="str">
            <v>Adukan beton K-350 ready mix</v>
          </cell>
          <cell r="G1344" t="str">
            <v>m3</v>
          </cell>
          <cell r="H1344" t="str">
            <v>X</v>
          </cell>
        </row>
        <row r="1345">
          <cell r="F1345" t="str">
            <v>Adukan beton K-400 ready mix</v>
          </cell>
          <cell r="G1345" t="str">
            <v>m3</v>
          </cell>
          <cell r="H1345" t="str">
            <v>X</v>
          </cell>
        </row>
        <row r="1346">
          <cell r="F1346" t="str">
            <v>Adukan beton K-500 ready mix</v>
          </cell>
          <cell r="G1346" t="str">
            <v>m3</v>
          </cell>
          <cell r="H1346" t="str">
            <v>X</v>
          </cell>
        </row>
        <row r="1347">
          <cell r="F1347" t="str">
            <v>Beton fc' 15 Mpa</v>
          </cell>
          <cell r="G1347" t="str">
            <v>m3</v>
          </cell>
          <cell r="H1347" t="str">
            <v>X</v>
          </cell>
        </row>
        <row r="1348">
          <cell r="F1348" t="str">
            <v>Compound gypsum</v>
          </cell>
          <cell r="G1348" t="str">
            <v>kg</v>
          </cell>
          <cell r="H1348">
            <v>3500</v>
          </cell>
        </row>
        <row r="1349">
          <cell r="F1349" t="str">
            <v>Compound hardboard</v>
          </cell>
          <cell r="G1349" t="str">
            <v>kg</v>
          </cell>
          <cell r="H1349" t="str">
            <v>X</v>
          </cell>
        </row>
        <row r="1350">
          <cell r="F1350" t="str">
            <v>Curing compound</v>
          </cell>
          <cell r="G1350" t="str">
            <v>liter</v>
          </cell>
          <cell r="H1350">
            <v>84200</v>
          </cell>
        </row>
        <row r="1351">
          <cell r="F1351" t="str">
            <v>Flexible waterproofing</v>
          </cell>
          <cell r="G1351" t="str">
            <v>kg</v>
          </cell>
          <cell r="H1351" t="str">
            <v>X</v>
          </cell>
        </row>
        <row r="1352">
          <cell r="F1352" t="str">
            <v xml:space="preserve">Membran Bakar </v>
          </cell>
          <cell r="G1352" t="str">
            <v>m2</v>
          </cell>
          <cell r="H1352">
            <v>150000</v>
          </cell>
        </row>
        <row r="1353">
          <cell r="F1353" t="str">
            <v xml:space="preserve">Cairan Primer </v>
          </cell>
          <cell r="G1353" t="str">
            <v xml:space="preserve">kg </v>
          </cell>
          <cell r="H1353">
            <v>74929.411764705888</v>
          </cell>
        </row>
        <row r="1354">
          <cell r="F1354" t="str">
            <v>Kassa</v>
          </cell>
          <cell r="G1354" t="str">
            <v>m'</v>
          </cell>
          <cell r="H1354" t="str">
            <v>X</v>
          </cell>
        </row>
        <row r="1355">
          <cell r="F1355" t="str">
            <v>Kolom beton pracetak</v>
          </cell>
          <cell r="G1355" t="str">
            <v>batang</v>
          </cell>
          <cell r="H1355">
            <v>462100</v>
          </cell>
        </row>
        <row r="1356">
          <cell r="F1356" t="str">
            <v>Panel beton pracetak</v>
          </cell>
          <cell r="G1356" t="str">
            <v>lembar</v>
          </cell>
          <cell r="H1356">
            <v>195200</v>
          </cell>
        </row>
        <row r="1357">
          <cell r="F1357" t="str">
            <v>Paper tape hardboard</v>
          </cell>
          <cell r="G1357" t="str">
            <v>m'</v>
          </cell>
          <cell r="H1357" t="str">
            <v>X</v>
          </cell>
        </row>
        <row r="1358">
          <cell r="F1358" t="str">
            <v>Pengisi khusus  rongga nat</v>
          </cell>
          <cell r="G1358" t="str">
            <v>kg</v>
          </cell>
          <cell r="H1358">
            <v>24000</v>
          </cell>
        </row>
        <row r="1359">
          <cell r="F1359" t="str">
            <v>Perekat  khusus  penutup dinding</v>
          </cell>
          <cell r="G1359" t="str">
            <v>kg</v>
          </cell>
          <cell r="H1359">
            <v>30460</v>
          </cell>
        </row>
        <row r="1360">
          <cell r="F1360" t="str">
            <v>Perekat  khusus  penutup lantai</v>
          </cell>
          <cell r="G1360" t="str">
            <v>kg</v>
          </cell>
          <cell r="H1360">
            <v>31860</v>
          </cell>
        </row>
        <row r="1361">
          <cell r="F1361" t="str">
            <v>Semen 40 Kg</v>
          </cell>
          <cell r="G1361" t="str">
            <v>zak</v>
          </cell>
          <cell r="H1361">
            <v>88100</v>
          </cell>
        </row>
        <row r="1362">
          <cell r="F1362" t="str">
            <v>Semen 50 Kg</v>
          </cell>
          <cell r="G1362" t="str">
            <v>zak</v>
          </cell>
          <cell r="H1362">
            <v>75900</v>
          </cell>
        </row>
        <row r="1363">
          <cell r="F1363" t="str">
            <v>Semen grout</v>
          </cell>
          <cell r="G1363" t="str">
            <v>kg</v>
          </cell>
          <cell r="H1363">
            <v>3900</v>
          </cell>
        </row>
        <row r="1364">
          <cell r="F1364" t="str">
            <v>Semen merah</v>
          </cell>
          <cell r="G1364" t="str">
            <v>kg</v>
          </cell>
          <cell r="H1364">
            <v>476041.66666666669</v>
          </cell>
        </row>
        <row r="1365">
          <cell r="F1365" t="str">
            <v>Semen Merk II 40 Kg</v>
          </cell>
          <cell r="G1365" t="str">
            <v>zak</v>
          </cell>
          <cell r="H1365">
            <v>80000</v>
          </cell>
        </row>
        <row r="1366">
          <cell r="F1366" t="str">
            <v>Semen Merk II 50 Kg</v>
          </cell>
          <cell r="G1366" t="str">
            <v>zak</v>
          </cell>
          <cell r="H1366">
            <v>76800</v>
          </cell>
        </row>
        <row r="1367">
          <cell r="F1367" t="str">
            <v>Semen nat</v>
          </cell>
          <cell r="G1367" t="str">
            <v>kg</v>
          </cell>
          <cell r="H1367">
            <v>19700</v>
          </cell>
        </row>
        <row r="1368">
          <cell r="F1368" t="str">
            <v>Semen Portland (PC)</v>
          </cell>
          <cell r="G1368" t="str">
            <v>kg</v>
          </cell>
          <cell r="H1368">
            <v>1800</v>
          </cell>
        </row>
        <row r="1369">
          <cell r="F1369" t="str">
            <v>Semen putih 40 Kg</v>
          </cell>
          <cell r="G1369" t="str">
            <v>zak</v>
          </cell>
          <cell r="H1369" t="str">
            <v>X</v>
          </cell>
        </row>
        <row r="1370">
          <cell r="F1370" t="str">
            <v>Semen putih 50 Kg</v>
          </cell>
          <cell r="G1370" t="str">
            <v>zak</v>
          </cell>
          <cell r="H1370" t="str">
            <v>X</v>
          </cell>
        </row>
        <row r="1371">
          <cell r="F1371" t="str">
            <v>Semen warna</v>
          </cell>
          <cell r="G1371" t="str">
            <v>kg</v>
          </cell>
          <cell r="H1371">
            <v>24200</v>
          </cell>
        </row>
        <row r="1372">
          <cell r="F1372" t="str">
            <v>Waterproofing</v>
          </cell>
          <cell r="G1372" t="str">
            <v>kg</v>
          </cell>
          <cell r="H1372">
            <v>77600</v>
          </cell>
        </row>
        <row r="1373">
          <cell r="F1373" t="str">
            <v>Waterproofing Cristalin</v>
          </cell>
          <cell r="G1373" t="str">
            <v>kg</v>
          </cell>
          <cell r="H1373" t="str">
            <v>X</v>
          </cell>
        </row>
        <row r="1374">
          <cell r="F1374" t="str">
            <v>Waterproofing Semen Base</v>
          </cell>
          <cell r="G1374" t="str">
            <v>kg</v>
          </cell>
          <cell r="H1374">
            <v>77600</v>
          </cell>
        </row>
        <row r="1375">
          <cell r="F1375" t="str">
            <v>Waterproofing Acrylic Base</v>
          </cell>
          <cell r="G1375" t="str">
            <v>kg</v>
          </cell>
          <cell r="H1375" t="str">
            <v>X</v>
          </cell>
        </row>
        <row r="1376">
          <cell r="F1376" t="str">
            <v>Joint Sealant</v>
          </cell>
          <cell r="G1376" t="str">
            <v>kg</v>
          </cell>
          <cell r="H1376">
            <v>42600</v>
          </cell>
        </row>
        <row r="1377">
          <cell r="F1377" t="str">
            <v>Polytene 125 Mikron</v>
          </cell>
          <cell r="G1377" t="str">
            <v xml:space="preserve">kg </v>
          </cell>
          <cell r="H1377">
            <v>39800</v>
          </cell>
        </row>
        <row r="1378">
          <cell r="F1378" t="str">
            <v>Dowel dia. 25 mm (BjTs)</v>
          </cell>
          <cell r="G1378" t="str">
            <v>Kg</v>
          </cell>
          <cell r="H1378" t="str">
            <v>X</v>
          </cell>
        </row>
        <row r="1379">
          <cell r="F1379" t="str">
            <v>Tie Bar Dia. 16 mm (BjTS)</v>
          </cell>
          <cell r="G1379" t="str">
            <v xml:space="preserve">Kg </v>
          </cell>
          <cell r="H1379" t="str">
            <v>X</v>
          </cell>
        </row>
        <row r="1380">
          <cell r="F1380" t="str">
            <v>Lolos screen 2 ukuran 9,5-19,0</v>
          </cell>
          <cell r="G1380" t="str">
            <v>m3</v>
          </cell>
          <cell r="H1380">
            <v>601400</v>
          </cell>
        </row>
        <row r="1381">
          <cell r="F1381" t="str">
            <v>Lolos screen 2 ukuran 0-5</v>
          </cell>
          <cell r="G1381" t="str">
            <v>m3</v>
          </cell>
          <cell r="H1381">
            <v>653200</v>
          </cell>
        </row>
        <row r="1382">
          <cell r="F1382" t="str">
            <v>Lantai Kerja fc 10 Mpa</v>
          </cell>
          <cell r="G1382" t="str">
            <v>m3</v>
          </cell>
          <cell r="H1382">
            <v>883100</v>
          </cell>
        </row>
        <row r="1383">
          <cell r="F1383" t="str">
            <v>Lantai Kerja fc 7,5 Mpa</v>
          </cell>
          <cell r="G1383" t="str">
            <v>m3</v>
          </cell>
          <cell r="H1383">
            <v>853100</v>
          </cell>
        </row>
        <row r="1384">
          <cell r="F1384" t="str">
            <v xml:space="preserve">U-Ditch 30x30x120 cm </v>
          </cell>
          <cell r="G1384" t="str">
            <v>Buah</v>
          </cell>
          <cell r="H1384">
            <v>360300</v>
          </cell>
        </row>
        <row r="1385">
          <cell r="F1385" t="str">
            <v xml:space="preserve">U-Ditch 30x40x120 cm </v>
          </cell>
          <cell r="G1385" t="str">
            <v>Buah</v>
          </cell>
          <cell r="H1385">
            <v>390300</v>
          </cell>
        </row>
        <row r="1386">
          <cell r="F1386" t="str">
            <v xml:space="preserve">U-Ditch 40x40x120 cm </v>
          </cell>
          <cell r="G1386" t="str">
            <v>Buah</v>
          </cell>
          <cell r="H1386">
            <v>662400</v>
          </cell>
        </row>
        <row r="1387">
          <cell r="F1387" t="str">
            <v xml:space="preserve">U-Ditch 40x50x120 cm </v>
          </cell>
          <cell r="G1387" t="str">
            <v>Buah</v>
          </cell>
          <cell r="H1387">
            <v>786600</v>
          </cell>
        </row>
        <row r="1388">
          <cell r="F1388" t="str">
            <v xml:space="preserve">U-Ditch 40x60x120 cm </v>
          </cell>
          <cell r="G1388" t="str">
            <v>Buah</v>
          </cell>
          <cell r="H1388">
            <v>881100</v>
          </cell>
        </row>
        <row r="1389">
          <cell r="F1389" t="str">
            <v xml:space="preserve">U-Ditch 50x50x120 cm </v>
          </cell>
          <cell r="G1389" t="str">
            <v>Buah</v>
          </cell>
          <cell r="H1389">
            <v>1002300</v>
          </cell>
        </row>
        <row r="1390">
          <cell r="F1390" t="str">
            <v xml:space="preserve">U-Ditch 50x60x120 cm </v>
          </cell>
          <cell r="G1390" t="str">
            <v>Buah</v>
          </cell>
          <cell r="H1390">
            <v>1061800</v>
          </cell>
        </row>
        <row r="1391">
          <cell r="F1391" t="str">
            <v xml:space="preserve">U-Ditch 50x70x120 cm </v>
          </cell>
          <cell r="G1391" t="str">
            <v>Buah</v>
          </cell>
          <cell r="H1391">
            <v>1167600</v>
          </cell>
        </row>
        <row r="1392">
          <cell r="F1392" t="str">
            <v xml:space="preserve">U-Ditch 60x60x120 cm </v>
          </cell>
          <cell r="G1392" t="str">
            <v>Buah</v>
          </cell>
          <cell r="H1392">
            <v>1260000</v>
          </cell>
        </row>
        <row r="1393">
          <cell r="F1393" t="str">
            <v xml:space="preserve">U-Ditch 60x70x120 cm </v>
          </cell>
          <cell r="G1393" t="str">
            <v>Buah</v>
          </cell>
          <cell r="H1393">
            <v>1308300</v>
          </cell>
        </row>
        <row r="1394">
          <cell r="F1394" t="str">
            <v xml:space="preserve">U-Ditch 60x80x120 cm </v>
          </cell>
          <cell r="G1394" t="str">
            <v>Buah</v>
          </cell>
          <cell r="H1394">
            <v>1426300</v>
          </cell>
        </row>
        <row r="1395">
          <cell r="F1395" t="str">
            <v xml:space="preserve">U-Ditch 80x60x120 cm </v>
          </cell>
          <cell r="G1395" t="str">
            <v>Buah</v>
          </cell>
          <cell r="H1395">
            <v>1622000</v>
          </cell>
        </row>
        <row r="1396">
          <cell r="F1396" t="str">
            <v xml:space="preserve">U-Ditch 80x80x120 cm </v>
          </cell>
          <cell r="G1396" t="str">
            <v>Buah</v>
          </cell>
          <cell r="H1396">
            <v>1687200</v>
          </cell>
        </row>
        <row r="1397">
          <cell r="F1397" t="str">
            <v xml:space="preserve">U-Ditch 80x100x120 cm </v>
          </cell>
          <cell r="G1397" t="str">
            <v>Buah</v>
          </cell>
          <cell r="H1397">
            <v>1954100</v>
          </cell>
        </row>
        <row r="1398">
          <cell r="F1398" t="str">
            <v xml:space="preserve">U-Ditch 100x100x120 cm </v>
          </cell>
          <cell r="G1398" t="str">
            <v>Buah</v>
          </cell>
          <cell r="H1398">
            <v>2387500</v>
          </cell>
        </row>
        <row r="1399">
          <cell r="F1399" t="str">
            <v xml:space="preserve">U-Ditch 100x120x120 cm </v>
          </cell>
          <cell r="G1399" t="str">
            <v>Buah</v>
          </cell>
          <cell r="H1399">
            <v>2737600</v>
          </cell>
        </row>
        <row r="1400">
          <cell r="F1400" t="str">
            <v xml:space="preserve">U-Ditch 120x120x120 cm </v>
          </cell>
          <cell r="G1400" t="str">
            <v>Buah</v>
          </cell>
          <cell r="H1400">
            <v>3675100</v>
          </cell>
        </row>
        <row r="1401">
          <cell r="F1401" t="str">
            <v xml:space="preserve">U-Ditch 120x140x120 cm </v>
          </cell>
          <cell r="G1401" t="str">
            <v>Buah</v>
          </cell>
          <cell r="H1401">
            <v>4061200</v>
          </cell>
        </row>
        <row r="1402">
          <cell r="F1402" t="str">
            <v xml:space="preserve">U-Ditch 140x140x120 cm </v>
          </cell>
          <cell r="G1402" t="str">
            <v>Buah</v>
          </cell>
          <cell r="H1402">
            <v>5722700</v>
          </cell>
        </row>
        <row r="1403">
          <cell r="F1403" t="str">
            <v xml:space="preserve">U-Ditch 150x100x120 cm </v>
          </cell>
          <cell r="G1403" t="str">
            <v>Buah</v>
          </cell>
          <cell r="H1403">
            <v>6566500</v>
          </cell>
        </row>
        <row r="1404">
          <cell r="F1404" t="str">
            <v xml:space="preserve">U-Ditch 150x150x120 cm </v>
          </cell>
          <cell r="G1404" t="str">
            <v>Buah</v>
          </cell>
          <cell r="H1404">
            <v>6645800</v>
          </cell>
        </row>
        <row r="1405">
          <cell r="F1405" t="str">
            <v xml:space="preserve">U-Ditch 150x170x120 cm </v>
          </cell>
          <cell r="G1405" t="str">
            <v>Buah</v>
          </cell>
          <cell r="H1405">
            <v>7429800</v>
          </cell>
        </row>
        <row r="1406">
          <cell r="F1406" t="str">
            <v xml:space="preserve">U-Ditch 160x160x120 cm </v>
          </cell>
          <cell r="G1406" t="str">
            <v>Buah</v>
          </cell>
          <cell r="H1406">
            <v>8213800</v>
          </cell>
        </row>
        <row r="1407">
          <cell r="F1407" t="str">
            <v xml:space="preserve">U-Ditch 160x180x120 cm </v>
          </cell>
          <cell r="G1407" t="str">
            <v>Buah</v>
          </cell>
          <cell r="H1407">
            <v>10961200</v>
          </cell>
        </row>
        <row r="1408">
          <cell r="F1408" t="str">
            <v xml:space="preserve">U-Ditch 180x180x120 cm </v>
          </cell>
          <cell r="G1408" t="str">
            <v>Buah</v>
          </cell>
          <cell r="H1408">
            <v>13021700</v>
          </cell>
        </row>
        <row r="1409">
          <cell r="F1409" t="str">
            <v xml:space="preserve">U-Ditch 180x200x120 cm </v>
          </cell>
          <cell r="G1409" t="str">
            <v>Buah</v>
          </cell>
          <cell r="H1409">
            <v>13365100</v>
          </cell>
        </row>
        <row r="1410">
          <cell r="F1410" t="str">
            <v xml:space="preserve">U-Ditch 200x200x120 cm </v>
          </cell>
          <cell r="G1410" t="str">
            <v>Buah</v>
          </cell>
          <cell r="H1410">
            <v>13708500</v>
          </cell>
        </row>
        <row r="1411">
          <cell r="F1411" t="str">
            <v>Tutup U-Ditch 39x60x6 (tipe LD)</v>
          </cell>
          <cell r="G1411" t="str">
            <v xml:space="preserve">buah </v>
          </cell>
          <cell r="H1411">
            <v>109200</v>
          </cell>
        </row>
        <row r="1412">
          <cell r="F1412" t="str">
            <v>Tutup U-Ditch 51x60x7 (tipe LD)</v>
          </cell>
          <cell r="G1412" t="str">
            <v xml:space="preserve">buah </v>
          </cell>
          <cell r="H1412">
            <v>151800</v>
          </cell>
        </row>
        <row r="1413">
          <cell r="F1413" t="str">
            <v>Tutup U-Ditch 62x60x7,5 (tipe LD)</v>
          </cell>
          <cell r="G1413" t="str">
            <v xml:space="preserve">buah </v>
          </cell>
          <cell r="H1413">
            <v>192100</v>
          </cell>
        </row>
        <row r="1414">
          <cell r="F1414" t="str">
            <v>Tutup U-Ditch 73x60x7,8 (tipe LD)</v>
          </cell>
          <cell r="G1414" t="str">
            <v>buah</v>
          </cell>
          <cell r="H1414">
            <v>257600</v>
          </cell>
        </row>
        <row r="1415">
          <cell r="F1415" t="str">
            <v>Tutup U-Ditch 94x60x10 (tipe LD)</v>
          </cell>
          <cell r="G1415" t="str">
            <v xml:space="preserve">buah </v>
          </cell>
          <cell r="H1415">
            <v>340500</v>
          </cell>
        </row>
        <row r="1416">
          <cell r="F1416" t="str">
            <v>Tutup U-Ditch 39x60x9 (tipe HD)</v>
          </cell>
          <cell r="G1416" t="str">
            <v xml:space="preserve">buah </v>
          </cell>
          <cell r="H1416">
            <v>164300</v>
          </cell>
        </row>
        <row r="1417">
          <cell r="F1417" t="str">
            <v>Tutup U-Ditch 51x60x10 (tipe HD)</v>
          </cell>
          <cell r="G1417" t="str">
            <v xml:space="preserve">buah </v>
          </cell>
          <cell r="H1417">
            <v>209600</v>
          </cell>
        </row>
        <row r="1418">
          <cell r="F1418" t="str">
            <v>Tutup U-Ditch 73x60x14 (tipe HD)</v>
          </cell>
          <cell r="G1418" t="str">
            <v xml:space="preserve">buah </v>
          </cell>
          <cell r="H1418">
            <v>383000</v>
          </cell>
        </row>
        <row r="1419">
          <cell r="F1419" t="str">
            <v>Tutup U-Ditch 94x60x15 (tipe HD)</v>
          </cell>
          <cell r="G1419" t="str">
            <v xml:space="preserve">Buah </v>
          </cell>
          <cell r="H1419">
            <v>546500</v>
          </cell>
        </row>
        <row r="1421">
          <cell r="F1421" t="str">
            <v>Cat  anti karat</v>
          </cell>
          <cell r="G1421" t="str">
            <v>kg</v>
          </cell>
          <cell r="H1421">
            <v>135300</v>
          </cell>
        </row>
        <row r="1422">
          <cell r="F1422" t="str">
            <v>Cat  besi</v>
          </cell>
          <cell r="G1422" t="str">
            <v>kg</v>
          </cell>
          <cell r="H1422">
            <v>105900</v>
          </cell>
        </row>
        <row r="1423">
          <cell r="F1423" t="str">
            <v>Cat  coating</v>
          </cell>
          <cell r="G1423" t="str">
            <v>liter</v>
          </cell>
          <cell r="H1423" t="str">
            <v>X</v>
          </cell>
        </row>
        <row r="1424">
          <cell r="F1424" t="str">
            <v>Cat  genteng</v>
          </cell>
          <cell r="G1424" t="str">
            <v>kg</v>
          </cell>
          <cell r="H1424">
            <v>211500</v>
          </cell>
        </row>
        <row r="1425">
          <cell r="F1425" t="str">
            <v>Cat  tembok per 20 kg</v>
          </cell>
          <cell r="G1425" t="str">
            <v>kg</v>
          </cell>
          <cell r="H1425">
            <v>1919000</v>
          </cell>
        </row>
        <row r="1426">
          <cell r="F1426" t="str">
            <v>Cat antara (cat besi)</v>
          </cell>
          <cell r="G1426" t="str">
            <v>kg</v>
          </cell>
          <cell r="H1426">
            <v>117400</v>
          </cell>
        </row>
        <row r="1427">
          <cell r="F1427" t="str">
            <v>Cat dasar (cat besi)</v>
          </cell>
          <cell r="G1427" t="str">
            <v>kg</v>
          </cell>
          <cell r="H1427">
            <v>117400</v>
          </cell>
        </row>
        <row r="1428">
          <cell r="F1428" t="str">
            <v>Cat dasar (cat kayu)</v>
          </cell>
          <cell r="G1428" t="str">
            <v>kg</v>
          </cell>
          <cell r="H1428">
            <v>138800</v>
          </cell>
        </row>
        <row r="1429">
          <cell r="F1429" t="str">
            <v>Cat kayu</v>
          </cell>
          <cell r="G1429" t="str">
            <v>kg</v>
          </cell>
          <cell r="H1429">
            <v>138800</v>
          </cell>
        </row>
        <row r="1430">
          <cell r="F1430" t="str">
            <v>Cat dasar (cat tembok eksterior)</v>
          </cell>
          <cell r="G1430" t="str">
            <v>kg</v>
          </cell>
          <cell r="H1430">
            <v>113000</v>
          </cell>
        </row>
        <row r="1431">
          <cell r="F1431" t="str">
            <v>Cat dasar (cat tembok interior)</v>
          </cell>
          <cell r="G1431" t="str">
            <v>kg</v>
          </cell>
          <cell r="H1431">
            <v>104200</v>
          </cell>
        </row>
        <row r="1432">
          <cell r="F1432" t="str">
            <v>Cat Dasar Plafond</v>
          </cell>
          <cell r="G1432" t="str">
            <v xml:space="preserve">Kg </v>
          </cell>
          <cell r="H1432" t="str">
            <v>X</v>
          </cell>
        </row>
        <row r="1433">
          <cell r="F1433" t="str">
            <v>Cat Plafond Eksterior</v>
          </cell>
          <cell r="G1433" t="str">
            <v>kg</v>
          </cell>
          <cell r="H1433" t="str">
            <v>X</v>
          </cell>
        </row>
        <row r="1434">
          <cell r="F1434" t="str">
            <v>Cat epoxy</v>
          </cell>
          <cell r="G1434" t="str">
            <v>kg</v>
          </cell>
          <cell r="H1434">
            <v>184700</v>
          </cell>
        </row>
        <row r="1435">
          <cell r="F1435" t="str">
            <v>Cat kedap  air  ( water  base)</v>
          </cell>
          <cell r="G1435" t="str">
            <v>kg</v>
          </cell>
          <cell r="H1435" t="str">
            <v>X</v>
          </cell>
        </row>
        <row r="1436">
          <cell r="F1436" t="str">
            <v>Cat penutup (cat besi)</v>
          </cell>
          <cell r="G1436" t="str">
            <v>kg</v>
          </cell>
          <cell r="H1436">
            <v>117400</v>
          </cell>
        </row>
        <row r="1437">
          <cell r="F1437" t="str">
            <v>Cat penutup (cat kayu)</v>
          </cell>
          <cell r="G1437" t="str">
            <v>kg</v>
          </cell>
          <cell r="H1437">
            <v>138800</v>
          </cell>
        </row>
        <row r="1438">
          <cell r="F1438" t="str">
            <v>Cat penutup (cat tembok eksterior)</v>
          </cell>
          <cell r="G1438" t="str">
            <v>kg</v>
          </cell>
          <cell r="H1438">
            <v>139440</v>
          </cell>
        </row>
        <row r="1439">
          <cell r="F1439" t="str">
            <v>Cat penutup (cat tembok interior)</v>
          </cell>
          <cell r="G1439" t="str">
            <v>kg</v>
          </cell>
          <cell r="H1439">
            <v>52956</v>
          </cell>
        </row>
        <row r="1440">
          <cell r="F1440" t="str">
            <v>Cat dinding</v>
          </cell>
          <cell r="G1440" t="str">
            <v>m2</v>
          </cell>
          <cell r="H1440">
            <v>62300</v>
          </cell>
        </row>
        <row r="1441">
          <cell r="F1441" t="str">
            <v>Cat zyncromate</v>
          </cell>
          <cell r="G1441" t="str">
            <v>kg</v>
          </cell>
          <cell r="H1441">
            <v>106200</v>
          </cell>
        </row>
        <row r="1442">
          <cell r="F1442" t="str">
            <v xml:space="preserve">Cat Thermoplast </v>
          </cell>
          <cell r="G1442" t="str">
            <v xml:space="preserve">kg </v>
          </cell>
          <cell r="H1442">
            <v>106400</v>
          </cell>
        </row>
        <row r="1443">
          <cell r="F1443" t="str">
            <v xml:space="preserve">Glass Beads </v>
          </cell>
          <cell r="G1443" t="str">
            <v>kg</v>
          </cell>
          <cell r="H1443">
            <v>87300</v>
          </cell>
        </row>
        <row r="1444">
          <cell r="F1444" t="str">
            <v xml:space="preserve">Compressor </v>
          </cell>
          <cell r="G1444" t="str">
            <v xml:space="preserve">jam </v>
          </cell>
          <cell r="H1444">
            <v>494000</v>
          </cell>
        </row>
        <row r="1445">
          <cell r="F1445" t="str">
            <v xml:space="preserve">Logo PU Akrilik 40x40 cm </v>
          </cell>
          <cell r="G1445" t="str">
            <v xml:space="preserve">buah </v>
          </cell>
          <cell r="H1445" t="str">
            <v>X</v>
          </cell>
        </row>
        <row r="1446">
          <cell r="F1446" t="str">
            <v xml:space="preserve">Logo PU Plat Baja 80x80 cm </v>
          </cell>
          <cell r="G1446" t="str">
            <v xml:space="preserve">buah </v>
          </cell>
          <cell r="H1446" t="str">
            <v>X</v>
          </cell>
        </row>
        <row r="1447">
          <cell r="F1447" t="str">
            <v>Nomor Rumah Akrilik 15x30 cm</v>
          </cell>
          <cell r="G1447" t="str">
            <v xml:space="preserve">buah </v>
          </cell>
          <cell r="H1447" t="str">
            <v>X</v>
          </cell>
        </row>
        <row r="1448">
          <cell r="F1448" t="str">
            <v xml:space="preserve">Bak Cuci Piring </v>
          </cell>
          <cell r="G1448" t="str">
            <v xml:space="preserve">unit </v>
          </cell>
          <cell r="H1448">
            <v>1007500</v>
          </cell>
        </row>
        <row r="1449">
          <cell r="F1449" t="str">
            <v>Shower Set</v>
          </cell>
          <cell r="G1449" t="str">
            <v>unit</v>
          </cell>
          <cell r="H1449">
            <v>903000</v>
          </cell>
        </row>
        <row r="1450">
          <cell r="F1450" t="str">
            <v>Dempul</v>
          </cell>
          <cell r="G1450" t="str">
            <v>kg</v>
          </cell>
          <cell r="H1450">
            <v>109600</v>
          </cell>
        </row>
        <row r="1451">
          <cell r="F1451" t="str">
            <v>Dempul jadi</v>
          </cell>
          <cell r="G1451" t="str">
            <v>kg</v>
          </cell>
          <cell r="H1451">
            <v>29800</v>
          </cell>
        </row>
        <row r="1452">
          <cell r="F1452" t="str">
            <v>Kuas  1"</v>
          </cell>
          <cell r="G1452" t="str">
            <v>buah</v>
          </cell>
          <cell r="H1452" t="str">
            <v>X</v>
          </cell>
        </row>
        <row r="1453">
          <cell r="F1453" t="str">
            <v>Kuas  2"</v>
          </cell>
          <cell r="G1453" t="str">
            <v>buah</v>
          </cell>
          <cell r="H1453" t="str">
            <v>X</v>
          </cell>
        </row>
        <row r="1454">
          <cell r="F1454" t="str">
            <v>Kuas  4"</v>
          </cell>
          <cell r="G1454" t="str">
            <v>buah</v>
          </cell>
          <cell r="H1454">
            <v>30900</v>
          </cell>
        </row>
        <row r="1455">
          <cell r="F1455" t="str">
            <v>Kuas 3 inch</v>
          </cell>
          <cell r="G1455" t="str">
            <v>buah</v>
          </cell>
          <cell r="H1455">
            <v>22200</v>
          </cell>
        </row>
        <row r="1456">
          <cell r="F1456" t="str">
            <v>Melamic</v>
          </cell>
          <cell r="G1456" t="str">
            <v>kg</v>
          </cell>
          <cell r="H1456">
            <v>113000</v>
          </cell>
        </row>
        <row r="1457">
          <cell r="F1457" t="str">
            <v>Meni besi</v>
          </cell>
          <cell r="G1457" t="str">
            <v>kg</v>
          </cell>
          <cell r="H1457">
            <v>108800</v>
          </cell>
        </row>
        <row r="1458">
          <cell r="F1458" t="str">
            <v>Meni kayu</v>
          </cell>
          <cell r="G1458" t="str">
            <v>kg</v>
          </cell>
          <cell r="H1458">
            <v>108800</v>
          </cell>
        </row>
        <row r="1459">
          <cell r="F1459" t="str">
            <v>Pelitur</v>
          </cell>
          <cell r="G1459" t="str">
            <v>liter</v>
          </cell>
          <cell r="H1459">
            <v>108200</v>
          </cell>
        </row>
        <row r="1460">
          <cell r="F1460" t="str">
            <v>Pelitur jadi</v>
          </cell>
          <cell r="G1460" t="str">
            <v>liter</v>
          </cell>
          <cell r="H1460">
            <v>115400</v>
          </cell>
        </row>
        <row r="1461">
          <cell r="F1461" t="str">
            <v>Pengencer cat kayu/besi</v>
          </cell>
          <cell r="G1461" t="str">
            <v>liter</v>
          </cell>
          <cell r="H1461">
            <v>74800</v>
          </cell>
        </row>
        <row r="1462">
          <cell r="F1462" t="str">
            <v>Pengencer cat kayu/besi</v>
          </cell>
          <cell r="G1462" t="str">
            <v>kg</v>
          </cell>
          <cell r="H1462">
            <v>74800</v>
          </cell>
        </row>
        <row r="1463">
          <cell r="F1463" t="str">
            <v>Pewarna Beton</v>
          </cell>
          <cell r="G1463" t="str">
            <v>kg</v>
          </cell>
          <cell r="H1463" t="str">
            <v>X</v>
          </cell>
        </row>
        <row r="1464">
          <cell r="F1464" t="str">
            <v>Plamir kayu</v>
          </cell>
          <cell r="G1464" t="str">
            <v>kg</v>
          </cell>
          <cell r="H1464">
            <v>44900</v>
          </cell>
        </row>
        <row r="1465">
          <cell r="F1465" t="str">
            <v>Plamir tembok</v>
          </cell>
          <cell r="G1465" t="str">
            <v>kg</v>
          </cell>
          <cell r="H1465">
            <v>28300</v>
          </cell>
        </row>
        <row r="1466">
          <cell r="F1466" t="str">
            <v>Sanding</v>
          </cell>
          <cell r="G1466" t="str">
            <v>kg</v>
          </cell>
          <cell r="H1466">
            <v>107000</v>
          </cell>
        </row>
        <row r="1467">
          <cell r="F1467" t="str">
            <v>Vernis</v>
          </cell>
          <cell r="G1467" t="str">
            <v>liter</v>
          </cell>
          <cell r="H1467">
            <v>54600</v>
          </cell>
        </row>
        <row r="1468">
          <cell r="F1468" t="str">
            <v>Wood filler</v>
          </cell>
          <cell r="G1468" t="str">
            <v>kg</v>
          </cell>
          <cell r="H1468">
            <v>92600</v>
          </cell>
        </row>
        <row r="1469">
          <cell r="F1469" t="str">
            <v>Woodstain</v>
          </cell>
          <cell r="G1469" t="str">
            <v>kg</v>
          </cell>
          <cell r="H1469">
            <v>85200</v>
          </cell>
        </row>
        <row r="1470">
          <cell r="H1470" t="str">
            <v>X</v>
          </cell>
        </row>
        <row r="1471">
          <cell r="F1471" t="str">
            <v>1 set  kunci pintu (kw  1)</v>
          </cell>
          <cell r="G1471" t="str">
            <v>buah</v>
          </cell>
          <cell r="H1471" t="str">
            <v>X</v>
          </cell>
        </row>
        <row r="1472">
          <cell r="F1472" t="str">
            <v>1 set  kunci pintu (kw  2)</v>
          </cell>
          <cell r="G1472" t="str">
            <v>buah</v>
          </cell>
          <cell r="H1472" t="str">
            <v>X</v>
          </cell>
        </row>
        <row r="1473">
          <cell r="F1473" t="str">
            <v>1 set handle+kunci</v>
          </cell>
          <cell r="G1473" t="str">
            <v>buah</v>
          </cell>
          <cell r="H1473" t="str">
            <v>X</v>
          </cell>
        </row>
        <row r="1474">
          <cell r="F1474" t="str">
            <v>Door closer</v>
          </cell>
          <cell r="G1474" t="str">
            <v>buah</v>
          </cell>
          <cell r="H1474">
            <v>736800</v>
          </cell>
        </row>
        <row r="1475">
          <cell r="F1475" t="str">
            <v>Door holder</v>
          </cell>
          <cell r="G1475" t="str">
            <v>buah</v>
          </cell>
          <cell r="H1475">
            <v>688000</v>
          </cell>
        </row>
        <row r="1476">
          <cell r="F1476" t="str">
            <v>Door stop</v>
          </cell>
          <cell r="G1476" t="str">
            <v>buah</v>
          </cell>
          <cell r="H1476">
            <v>97600</v>
          </cell>
        </row>
        <row r="1477">
          <cell r="F1477" t="str">
            <v>Engsel angin</v>
          </cell>
          <cell r="G1477" t="str">
            <v>buah</v>
          </cell>
          <cell r="H1477">
            <v>46200</v>
          </cell>
        </row>
        <row r="1478">
          <cell r="F1478" t="str">
            <v>Engsel jendela</v>
          </cell>
          <cell r="G1478" t="str">
            <v>buah</v>
          </cell>
          <cell r="H1478">
            <v>19700</v>
          </cell>
        </row>
        <row r="1479">
          <cell r="F1479" t="str">
            <v>Engsel kupu-kupu</v>
          </cell>
          <cell r="G1479" t="str">
            <v>buah</v>
          </cell>
          <cell r="H1479">
            <v>32200</v>
          </cell>
        </row>
        <row r="1480">
          <cell r="F1480" t="str">
            <v>Engsel lengan jendela</v>
          </cell>
          <cell r="G1480" t="str">
            <v>buah</v>
          </cell>
          <cell r="H1480">
            <v>43800</v>
          </cell>
        </row>
        <row r="1481">
          <cell r="F1481" t="str">
            <v>Engsel pintu (kw 1)</v>
          </cell>
          <cell r="G1481" t="str">
            <v>buah</v>
          </cell>
          <cell r="H1481">
            <v>35850</v>
          </cell>
        </row>
        <row r="1482">
          <cell r="F1482" t="str">
            <v>Engsel pintu (kw 2)</v>
          </cell>
          <cell r="G1482" t="str">
            <v>buah</v>
          </cell>
          <cell r="H1482">
            <v>35850</v>
          </cell>
        </row>
        <row r="1483">
          <cell r="F1483" t="str">
            <v>Floor hinge</v>
          </cell>
          <cell r="G1483" t="str">
            <v>buah</v>
          </cell>
          <cell r="H1483">
            <v>901250</v>
          </cell>
        </row>
        <row r="1484">
          <cell r="F1484" t="str">
            <v>Gerendel Biasa</v>
          </cell>
          <cell r="G1484" t="str">
            <v>buah</v>
          </cell>
          <cell r="H1484">
            <v>30900</v>
          </cell>
        </row>
        <row r="1485">
          <cell r="F1485" t="str">
            <v>Grendel</v>
          </cell>
          <cell r="G1485" t="str">
            <v>buah</v>
          </cell>
          <cell r="H1485">
            <v>30900</v>
          </cell>
        </row>
        <row r="1486">
          <cell r="F1486" t="str">
            <v>Grendel tanam</v>
          </cell>
          <cell r="G1486" t="str">
            <v>buah</v>
          </cell>
          <cell r="H1486">
            <v>229800</v>
          </cell>
        </row>
        <row r="1487">
          <cell r="F1487" t="str">
            <v>Handle pintu (kw  1)</v>
          </cell>
          <cell r="G1487" t="str">
            <v>buah</v>
          </cell>
          <cell r="H1487">
            <v>248400</v>
          </cell>
        </row>
        <row r="1488">
          <cell r="F1488" t="str">
            <v xml:space="preserve">Hendle Jendela </v>
          </cell>
          <cell r="G1488" t="str">
            <v xml:space="preserve">buah </v>
          </cell>
          <cell r="H1488">
            <v>131600</v>
          </cell>
        </row>
        <row r="1489">
          <cell r="F1489" t="str">
            <v>Kait angin</v>
          </cell>
          <cell r="G1489" t="str">
            <v>buah</v>
          </cell>
          <cell r="H1489">
            <v>47000</v>
          </cell>
        </row>
        <row r="1490">
          <cell r="F1490" t="str">
            <v>Kunci lemari</v>
          </cell>
          <cell r="G1490" t="str">
            <v>buah</v>
          </cell>
          <cell r="H1490">
            <v>79700</v>
          </cell>
        </row>
        <row r="1491">
          <cell r="F1491" t="str">
            <v>Kunci silinder</v>
          </cell>
          <cell r="G1491" t="str">
            <v>buah</v>
          </cell>
          <cell r="H1491">
            <v>548100</v>
          </cell>
        </row>
        <row r="1492">
          <cell r="F1492" t="str">
            <v>Kunci slot</v>
          </cell>
          <cell r="G1492" t="str">
            <v>buah</v>
          </cell>
          <cell r="H1492">
            <v>28700</v>
          </cell>
        </row>
        <row r="1493">
          <cell r="F1493" t="str">
            <v>Kunci tanam</v>
          </cell>
          <cell r="G1493" t="str">
            <v>buah</v>
          </cell>
          <cell r="H1493">
            <v>77700</v>
          </cell>
        </row>
        <row r="1494">
          <cell r="F1494" t="str">
            <v>Kunci tanam antik</v>
          </cell>
          <cell r="G1494" t="str">
            <v>buah</v>
          </cell>
          <cell r="H1494">
            <v>143600</v>
          </cell>
        </row>
        <row r="1495">
          <cell r="F1495" t="str">
            <v>Kunci tanam biasa</v>
          </cell>
          <cell r="G1495" t="str">
            <v>buah</v>
          </cell>
          <cell r="H1495">
            <v>77700</v>
          </cell>
        </row>
        <row r="1496">
          <cell r="F1496" t="str">
            <v>Kunci Tanam ex  lokal 2x  slag</v>
          </cell>
          <cell r="G1496" t="str">
            <v>buah</v>
          </cell>
          <cell r="H1496" t="str">
            <v>X</v>
          </cell>
        </row>
        <row r="1497">
          <cell r="F1497" t="str">
            <v>Kunci tanam kamar mandi</v>
          </cell>
          <cell r="G1497" t="str">
            <v>buah</v>
          </cell>
          <cell r="H1497">
            <v>100100</v>
          </cell>
        </row>
        <row r="1498">
          <cell r="F1498" t="str">
            <v>Pull handle (kw  1)</v>
          </cell>
          <cell r="G1498" t="str">
            <v>buah</v>
          </cell>
          <cell r="H1498" t="str">
            <v>X</v>
          </cell>
        </row>
        <row r="1499">
          <cell r="F1499" t="str">
            <v>Pull handle stainless  jumbo  (kw  1)</v>
          </cell>
          <cell r="G1499" t="str">
            <v>buah</v>
          </cell>
          <cell r="H1499" t="str">
            <v>X</v>
          </cell>
        </row>
        <row r="1500">
          <cell r="F1500" t="str">
            <v>Rel pintu dorong</v>
          </cell>
          <cell r="G1500" t="str">
            <v>set</v>
          </cell>
          <cell r="H1500">
            <v>365900</v>
          </cell>
        </row>
        <row r="1501">
          <cell r="F1501" t="str">
            <v>Spring knip</v>
          </cell>
          <cell r="G1501" t="str">
            <v>buah</v>
          </cell>
          <cell r="H1501">
            <v>49600</v>
          </cell>
        </row>
        <row r="1502">
          <cell r="F1502" t="str">
            <v>Tarikan Pintu Stainless</v>
          </cell>
          <cell r="G1502" t="str">
            <v>buah</v>
          </cell>
          <cell r="H1502">
            <v>446600</v>
          </cell>
        </row>
        <row r="1503">
          <cell r="F1503" t="str">
            <v>Venetions blinds dan vertical blinds</v>
          </cell>
          <cell r="G1503" t="str">
            <v>m2</v>
          </cell>
          <cell r="H1503">
            <v>349400</v>
          </cell>
        </row>
        <row r="1504">
          <cell r="H1504" t="str">
            <v>X</v>
          </cell>
        </row>
        <row r="1505">
          <cell r="F1505" t="str">
            <v>Glass block 20x20 cm</v>
          </cell>
          <cell r="G1505" t="str">
            <v>buah</v>
          </cell>
          <cell r="H1505">
            <v>45300</v>
          </cell>
        </row>
        <row r="1506">
          <cell r="F1506" t="str">
            <v>Frame besi kaca nako</v>
          </cell>
          <cell r="G1506" t="str">
            <v>daun</v>
          </cell>
          <cell r="H1506">
            <v>38800</v>
          </cell>
        </row>
        <row r="1507">
          <cell r="F1507" t="str">
            <v>Jendela nako</v>
          </cell>
          <cell r="G1507" t="str">
            <v>buah</v>
          </cell>
          <cell r="H1507">
            <v>499500</v>
          </cell>
        </row>
        <row r="1508">
          <cell r="F1508" t="str">
            <v xml:space="preserve">Jendela Kaca Upvc 2 daun </v>
          </cell>
          <cell r="G1508" t="str">
            <v xml:space="preserve">buah </v>
          </cell>
          <cell r="H1508" t="str">
            <v>X</v>
          </cell>
        </row>
        <row r="1509">
          <cell r="F1509" t="str">
            <v xml:space="preserve">Jendela Ornamen GRC </v>
          </cell>
          <cell r="G1509" t="str">
            <v xml:space="preserve">buah </v>
          </cell>
          <cell r="H1509" t="str">
            <v>X</v>
          </cell>
        </row>
        <row r="1510">
          <cell r="F1510" t="str">
            <v>Jendela Nako Rangka Aluminium (rangka+kaca 5 mm)</v>
          </cell>
          <cell r="G1510" t="str">
            <v>m2</v>
          </cell>
          <cell r="H1510">
            <v>499500</v>
          </cell>
        </row>
        <row r="1511">
          <cell r="F1511" t="str">
            <v>Kaca buram 12mm</v>
          </cell>
          <cell r="G1511" t="str">
            <v>m2</v>
          </cell>
          <cell r="H1511" t="str">
            <v>X</v>
          </cell>
        </row>
        <row r="1512">
          <cell r="F1512" t="str">
            <v>Kaca cermin 5 mm</v>
          </cell>
          <cell r="G1512" t="str">
            <v>m2</v>
          </cell>
          <cell r="H1512">
            <v>366700</v>
          </cell>
        </row>
        <row r="1513">
          <cell r="F1513" t="str">
            <v>Kaca cermin 6mm</v>
          </cell>
          <cell r="G1513" t="str">
            <v>m2</v>
          </cell>
          <cell r="H1513">
            <v>399100</v>
          </cell>
        </row>
        <row r="1514">
          <cell r="F1514" t="str">
            <v>Kaca cermin 8 mm</v>
          </cell>
          <cell r="G1514" t="str">
            <v>m2</v>
          </cell>
          <cell r="H1514">
            <v>399400</v>
          </cell>
        </row>
        <row r="1515">
          <cell r="F1515" t="str">
            <v>Kaca es  kabur 3 mm</v>
          </cell>
          <cell r="G1515" t="str">
            <v>m2</v>
          </cell>
          <cell r="H1515">
            <v>351000</v>
          </cell>
        </row>
        <row r="1516">
          <cell r="F1516" t="str">
            <v>Kaca es  kabur 5 mm</v>
          </cell>
          <cell r="G1516" t="str">
            <v>m2</v>
          </cell>
          <cell r="H1516">
            <v>742000</v>
          </cell>
        </row>
        <row r="1517">
          <cell r="F1517" t="str">
            <v>Kaca gravire 5mm</v>
          </cell>
          <cell r="G1517" t="str">
            <v>m2</v>
          </cell>
          <cell r="H1517" t="str">
            <v>X</v>
          </cell>
        </row>
        <row r="1518">
          <cell r="F1518" t="str">
            <v>Kaca gravire putih 5mm</v>
          </cell>
          <cell r="G1518" t="str">
            <v>m2</v>
          </cell>
          <cell r="H1518" t="str">
            <v>X</v>
          </cell>
        </row>
        <row r="1519">
          <cell r="F1519" t="str">
            <v>Kaca laminated 12 mm</v>
          </cell>
          <cell r="G1519" t="str">
            <v>m2</v>
          </cell>
          <cell r="H1519" t="str">
            <v>X</v>
          </cell>
        </row>
        <row r="1520">
          <cell r="F1520" t="str">
            <v>Kaca laminated 8 mm</v>
          </cell>
          <cell r="G1520" t="str">
            <v>m2</v>
          </cell>
          <cell r="H1520">
            <v>2008400</v>
          </cell>
        </row>
        <row r="1521">
          <cell r="F1521" t="str">
            <v>Kaca lukis  alur 5mm</v>
          </cell>
          <cell r="G1521" t="str">
            <v>m2</v>
          </cell>
          <cell r="H1521">
            <v>753000</v>
          </cell>
        </row>
        <row r="1522">
          <cell r="F1522" t="str">
            <v>Kaca patri 5 mm</v>
          </cell>
          <cell r="G1522" t="str">
            <v>m2</v>
          </cell>
          <cell r="H1522">
            <v>2942800</v>
          </cell>
        </row>
        <row r="1523">
          <cell r="F1523" t="str">
            <v>Kaca polos</v>
          </cell>
          <cell r="G1523" t="str">
            <v>m2</v>
          </cell>
          <cell r="H1523">
            <v>275600</v>
          </cell>
        </row>
        <row r="1524">
          <cell r="F1524" t="str">
            <v>Kaca polos 3 mm</v>
          </cell>
          <cell r="G1524" t="str">
            <v>m2</v>
          </cell>
          <cell r="H1524">
            <v>302800</v>
          </cell>
        </row>
        <row r="1525">
          <cell r="F1525" t="str">
            <v>Kaca polos 5 mm</v>
          </cell>
          <cell r="G1525" t="str">
            <v>m2</v>
          </cell>
          <cell r="H1525">
            <v>365600</v>
          </cell>
        </row>
        <row r="1526">
          <cell r="F1526" t="str">
            <v>Kaca polos 6 mm</v>
          </cell>
          <cell r="G1526" t="str">
            <v>m2</v>
          </cell>
          <cell r="H1526">
            <v>425500</v>
          </cell>
        </row>
        <row r="1527">
          <cell r="F1527" t="str">
            <v>Kaca polos 8 mm</v>
          </cell>
          <cell r="G1527" t="str">
            <v>m2</v>
          </cell>
          <cell r="H1527">
            <v>485400</v>
          </cell>
        </row>
        <row r="1528">
          <cell r="F1528" t="str">
            <v>Kaca tanpa tripel 5mm</v>
          </cell>
          <cell r="G1528" t="str">
            <v>m2</v>
          </cell>
          <cell r="H1528" t="str">
            <v>X</v>
          </cell>
        </row>
        <row r="1529">
          <cell r="F1529" t="str">
            <v>Kaca tempered 12 mm</v>
          </cell>
          <cell r="G1529" t="str">
            <v>m2</v>
          </cell>
          <cell r="H1529">
            <v>878100</v>
          </cell>
        </row>
        <row r="1530">
          <cell r="F1530" t="str">
            <v>Kaca triple 5mm</v>
          </cell>
          <cell r="G1530" t="str">
            <v>m2</v>
          </cell>
          <cell r="H1530" t="str">
            <v>X</v>
          </cell>
        </row>
        <row r="1531">
          <cell r="F1531" t="str">
            <v>Kaca triple platinum 5mm</v>
          </cell>
          <cell r="G1531" t="str">
            <v>m2</v>
          </cell>
          <cell r="H1531" t="str">
            <v>X</v>
          </cell>
        </row>
        <row r="1532">
          <cell r="F1532" t="str">
            <v>Kaca wireglass 5 mm</v>
          </cell>
          <cell r="G1532" t="str">
            <v>m2</v>
          </cell>
          <cell r="H1532">
            <v>576800</v>
          </cell>
        </row>
        <row r="1533">
          <cell r="F1533" t="str">
            <v>Profil kaca</v>
          </cell>
          <cell r="G1533" t="str">
            <v>m¹</v>
          </cell>
          <cell r="H1533" t="str">
            <v>X</v>
          </cell>
        </row>
        <row r="1534">
          <cell r="F1534" t="str">
            <v>Profil kaca tebal 6 mm</v>
          </cell>
          <cell r="G1534" t="str">
            <v>m2</v>
          </cell>
          <cell r="H1534">
            <v>37400</v>
          </cell>
        </row>
        <row r="1535">
          <cell r="F1535" t="str">
            <v>Ray Band 3mm</v>
          </cell>
          <cell r="G1535" t="str">
            <v>m2</v>
          </cell>
          <cell r="H1535" t="str">
            <v>X</v>
          </cell>
        </row>
        <row r="1536">
          <cell r="F1536" t="str">
            <v>Ray Band 5mm</v>
          </cell>
          <cell r="G1536" t="str">
            <v>m2</v>
          </cell>
          <cell r="H1536">
            <v>224500</v>
          </cell>
        </row>
        <row r="1537">
          <cell r="H1537" t="str">
            <v>X</v>
          </cell>
        </row>
        <row r="1538">
          <cell r="F1538" t="str">
            <v>Bak  reservoir  fibreglass (kapasitas 1050  liter)</v>
          </cell>
          <cell r="G1538" t="str">
            <v>buah</v>
          </cell>
          <cell r="H1538" t="str">
            <v>X</v>
          </cell>
        </row>
        <row r="1539">
          <cell r="F1539" t="str">
            <v>Bak  reservoir  fibreglass (kapasitas 1200  liter)</v>
          </cell>
          <cell r="G1539" t="str">
            <v>buah</v>
          </cell>
          <cell r="H1539" t="str">
            <v>X</v>
          </cell>
        </row>
        <row r="1540">
          <cell r="F1540" t="str">
            <v>Bak  reservoir  fibreglass (kapasitas 1550  liter)</v>
          </cell>
          <cell r="G1540" t="str">
            <v>buah</v>
          </cell>
          <cell r="H1540" t="str">
            <v>X</v>
          </cell>
        </row>
        <row r="1541">
          <cell r="F1541" t="str">
            <v>Bak  reservoir  fibreglass (kapasitas 2000  liter)</v>
          </cell>
          <cell r="G1541" t="str">
            <v>buah</v>
          </cell>
          <cell r="H1541" t="str">
            <v>X</v>
          </cell>
        </row>
        <row r="1542">
          <cell r="F1542" t="str">
            <v>Bak  reservoir  fibreglass (kapasitas 650  liter)</v>
          </cell>
          <cell r="G1542" t="str">
            <v>buah</v>
          </cell>
          <cell r="H1542" t="str">
            <v>X</v>
          </cell>
        </row>
        <row r="1543">
          <cell r="F1543" t="str">
            <v>Bak cuci stainlesteel</v>
          </cell>
          <cell r="G1543" t="str">
            <v>buah</v>
          </cell>
          <cell r="H1543">
            <v>1283600</v>
          </cell>
        </row>
        <row r="1544">
          <cell r="F1544" t="str">
            <v>Bak cuci teraso</v>
          </cell>
          <cell r="G1544" t="str">
            <v>buah</v>
          </cell>
          <cell r="H1544">
            <v>1007500</v>
          </cell>
        </row>
        <row r="1545">
          <cell r="F1545" t="str">
            <v>Bak fiberglass 1 m3</v>
          </cell>
          <cell r="G1545" t="str">
            <v>buah</v>
          </cell>
          <cell r="H1545">
            <v>277400</v>
          </cell>
        </row>
        <row r="1546">
          <cell r="F1546" t="str">
            <v>Bak fiberglass 70x70x66 cm</v>
          </cell>
          <cell r="G1546" t="str">
            <v>buah</v>
          </cell>
          <cell r="H1546">
            <v>277400</v>
          </cell>
        </row>
        <row r="1547">
          <cell r="F1547" t="str">
            <v>Bak teraso</v>
          </cell>
          <cell r="G1547" t="str">
            <v>buah</v>
          </cell>
          <cell r="H1547">
            <v>1942700</v>
          </cell>
        </row>
        <row r="1548">
          <cell r="F1548" t="str">
            <v>Bathup</v>
          </cell>
          <cell r="G1548" t="str">
            <v>unit</v>
          </cell>
          <cell r="H1548">
            <v>17619300</v>
          </cell>
        </row>
        <row r="1549">
          <cell r="F1549" t="str">
            <v>Carbon filter kap. 0,1 m3/hari</v>
          </cell>
          <cell r="G1549" t="str">
            <v>unit</v>
          </cell>
          <cell r="H1549" t="str">
            <v>X</v>
          </cell>
        </row>
        <row r="1550">
          <cell r="F1550" t="str">
            <v>Carbon filter kap. 0,6 m3/hari</v>
          </cell>
          <cell r="G1550" t="str">
            <v>unit</v>
          </cell>
          <cell r="H1550" t="str">
            <v>X</v>
          </cell>
        </row>
        <row r="1551">
          <cell r="F1551" t="str">
            <v>Clean out</v>
          </cell>
          <cell r="G1551" t="str">
            <v>buah</v>
          </cell>
          <cell r="H1551">
            <v>162100</v>
          </cell>
        </row>
        <row r="1552">
          <cell r="F1552" t="str">
            <v>Flexible hose</v>
          </cell>
          <cell r="G1552" t="str">
            <v>m'</v>
          </cell>
          <cell r="H1552">
            <v>79800</v>
          </cell>
        </row>
        <row r="1553">
          <cell r="F1553" t="str">
            <v>Flexible hose</v>
          </cell>
          <cell r="G1553" t="str">
            <v>buah</v>
          </cell>
          <cell r="H1553">
            <v>79800</v>
          </cell>
        </row>
        <row r="1554">
          <cell r="F1554" t="str">
            <v>Floor drain stainles steel</v>
          </cell>
          <cell r="G1554" t="str">
            <v>buah</v>
          </cell>
          <cell r="H1554">
            <v>179100</v>
          </cell>
        </row>
        <row r="1555">
          <cell r="F1555" t="str">
            <v>Grab bar</v>
          </cell>
          <cell r="G1555" t="str">
            <v>buah</v>
          </cell>
          <cell r="H1555" t="str">
            <v>X</v>
          </cell>
        </row>
        <row r="1556">
          <cell r="F1556" t="str">
            <v>Grease trap central fiberglass, kap. 5 m3</v>
          </cell>
          <cell r="G1556" t="str">
            <v>unit</v>
          </cell>
          <cell r="H1556" t="str">
            <v>X</v>
          </cell>
        </row>
        <row r="1557">
          <cell r="F1557" t="str">
            <v>Grease trap portable fiberglass, kap. 30 Liter</v>
          </cell>
          <cell r="G1557" t="str">
            <v>unit</v>
          </cell>
          <cell r="H1557" t="str">
            <v>X</v>
          </cell>
        </row>
        <row r="1558">
          <cell r="F1558" t="str">
            <v>Grease trap portable stainless, kap. 30 Liter</v>
          </cell>
          <cell r="G1558" t="str">
            <v>unit</v>
          </cell>
          <cell r="H1558" t="str">
            <v>X</v>
          </cell>
        </row>
        <row r="1559">
          <cell r="F1559" t="str">
            <v>Jet washer</v>
          </cell>
          <cell r="G1559" t="str">
            <v>buah</v>
          </cell>
          <cell r="H1559">
            <v>463800</v>
          </cell>
        </row>
        <row r="1560">
          <cell r="F1560" t="str">
            <v>Kloset duduk/monoblok</v>
          </cell>
          <cell r="G1560" t="str">
            <v>buah</v>
          </cell>
          <cell r="H1560">
            <v>8895800</v>
          </cell>
        </row>
        <row r="1561">
          <cell r="F1561" t="str">
            <v>Kloset jongkok</v>
          </cell>
          <cell r="G1561" t="str">
            <v>buah</v>
          </cell>
          <cell r="H1561">
            <v>300900</v>
          </cell>
        </row>
        <row r="1562">
          <cell r="F1562" t="str">
            <v>Komunal 10</v>
          </cell>
          <cell r="G1562" t="str">
            <v>unit</v>
          </cell>
          <cell r="H1562" t="str">
            <v>X</v>
          </cell>
        </row>
        <row r="1563">
          <cell r="F1563" t="str">
            <v>Komunal 100</v>
          </cell>
          <cell r="G1563" t="str">
            <v>unit</v>
          </cell>
          <cell r="H1563" t="str">
            <v>X</v>
          </cell>
        </row>
        <row r="1564">
          <cell r="F1564" t="str">
            <v>Komunal 125</v>
          </cell>
          <cell r="G1564" t="str">
            <v>unit</v>
          </cell>
          <cell r="H1564" t="str">
            <v>X</v>
          </cell>
        </row>
        <row r="1565">
          <cell r="F1565" t="str">
            <v>Komunal 150</v>
          </cell>
          <cell r="G1565" t="str">
            <v>unit</v>
          </cell>
          <cell r="H1565" t="str">
            <v>X</v>
          </cell>
        </row>
        <row r="1566">
          <cell r="F1566" t="str">
            <v>Komunal 25</v>
          </cell>
          <cell r="G1566" t="str">
            <v>unit</v>
          </cell>
          <cell r="H1566" t="str">
            <v>X</v>
          </cell>
        </row>
        <row r="1567">
          <cell r="F1567" t="str">
            <v>Komunal 50</v>
          </cell>
          <cell r="G1567" t="str">
            <v>unit</v>
          </cell>
          <cell r="H1567" t="str">
            <v>X</v>
          </cell>
        </row>
        <row r="1568">
          <cell r="F1568" t="str">
            <v>Komunal 75</v>
          </cell>
          <cell r="G1568" t="str">
            <v>unit</v>
          </cell>
          <cell r="H1568" t="str">
            <v>X</v>
          </cell>
        </row>
        <row r="1569">
          <cell r="F1569" t="str">
            <v>Kran air</v>
          </cell>
          <cell r="G1569" t="str">
            <v>buah</v>
          </cell>
          <cell r="H1569">
            <v>169500</v>
          </cell>
        </row>
        <row r="1570">
          <cell r="F1570" t="str">
            <v>Partisi urinoir</v>
          </cell>
          <cell r="G1570" t="str">
            <v>buah</v>
          </cell>
          <cell r="H1570">
            <v>994700</v>
          </cell>
        </row>
        <row r="1571">
          <cell r="F1571" t="str">
            <v>Pintu kubikel</v>
          </cell>
          <cell r="G1571" t="str">
            <v>set</v>
          </cell>
          <cell r="H1571" t="str">
            <v>X</v>
          </cell>
        </row>
        <row r="1572">
          <cell r="F1572" t="str">
            <v>Pompa booster 150 lpm (vertical in line-packaged)</v>
          </cell>
          <cell r="G1572" t="str">
            <v>unit</v>
          </cell>
          <cell r="H1572" t="str">
            <v>X</v>
          </cell>
        </row>
        <row r="1573">
          <cell r="F1573" t="str">
            <v>Pompa booster 450 lpm (centrifugal end suction)</v>
          </cell>
          <cell r="G1573" t="str">
            <v>unit</v>
          </cell>
          <cell r="H1573" t="str">
            <v>X</v>
          </cell>
        </row>
        <row r="1574">
          <cell r="F1574" t="str">
            <v>Pompa jet 100 lpm</v>
          </cell>
          <cell r="G1574" t="str">
            <v>unit</v>
          </cell>
          <cell r="H1574" t="str">
            <v>X</v>
          </cell>
        </row>
        <row r="1575">
          <cell r="F1575" t="str">
            <v>Pompa jet 27 lpm</v>
          </cell>
          <cell r="G1575" t="str">
            <v>unit</v>
          </cell>
          <cell r="H1575" t="str">
            <v>X</v>
          </cell>
        </row>
        <row r="1576">
          <cell r="F1576" t="str">
            <v>Pompa jet 34 lpm</v>
          </cell>
          <cell r="G1576" t="str">
            <v>unit</v>
          </cell>
          <cell r="H1576" t="str">
            <v>X</v>
          </cell>
        </row>
        <row r="1577">
          <cell r="F1577" t="str">
            <v>Pompa lift 250 lpm</v>
          </cell>
          <cell r="G1577" t="str">
            <v>unit</v>
          </cell>
          <cell r="H1577" t="str">
            <v>X</v>
          </cell>
        </row>
        <row r="1578">
          <cell r="F1578" t="str">
            <v>Pompa lift 80 lpm</v>
          </cell>
          <cell r="G1578" t="str">
            <v>unit</v>
          </cell>
          <cell r="H1578" t="str">
            <v>X</v>
          </cell>
        </row>
        <row r="1579">
          <cell r="F1579" t="str">
            <v>Pompa transfer 150 lpm (centrifugal end suction)</v>
          </cell>
          <cell r="G1579" t="str">
            <v>unit</v>
          </cell>
          <cell r="H1579" t="str">
            <v>X</v>
          </cell>
        </row>
        <row r="1580">
          <cell r="F1580" t="str">
            <v>Pressure tank 1.000 liter</v>
          </cell>
          <cell r="G1580" t="str">
            <v>unit</v>
          </cell>
          <cell r="H1580" t="str">
            <v>X</v>
          </cell>
        </row>
        <row r="1581">
          <cell r="F1581" t="str">
            <v>Priming tank fiber 1.000 liter</v>
          </cell>
          <cell r="G1581" t="str">
            <v>unit</v>
          </cell>
          <cell r="H1581" t="str">
            <v>X</v>
          </cell>
        </row>
        <row r="1582">
          <cell r="F1582" t="str">
            <v>Priming tank fiber 2.000 liter</v>
          </cell>
          <cell r="G1582" t="str">
            <v>unit</v>
          </cell>
          <cell r="H1582" t="str">
            <v>X</v>
          </cell>
        </row>
        <row r="1583">
          <cell r="F1583" t="str">
            <v>Priming tank fiber 500 liter</v>
          </cell>
          <cell r="G1583" t="str">
            <v>unit</v>
          </cell>
          <cell r="H1583" t="str">
            <v>X</v>
          </cell>
        </row>
        <row r="1584">
          <cell r="F1584" t="str">
            <v>Priming tank fiber 800 liter</v>
          </cell>
          <cell r="G1584" t="str">
            <v>unit</v>
          </cell>
          <cell r="H1584" t="str">
            <v>X</v>
          </cell>
        </row>
        <row r="1585">
          <cell r="F1585" t="str">
            <v>Robe hook</v>
          </cell>
          <cell r="G1585" t="str">
            <v>buah</v>
          </cell>
          <cell r="H1585" t="str">
            <v>X</v>
          </cell>
        </row>
        <row r="1586">
          <cell r="F1586" t="str">
            <v>Roof tank fiberglass kap. 12 m3</v>
          </cell>
          <cell r="G1586" t="str">
            <v>unit</v>
          </cell>
          <cell r="H1586" t="str">
            <v>X</v>
          </cell>
        </row>
        <row r="1587">
          <cell r="F1587" t="str">
            <v>Roof tank fiberglass kap. 2 m3</v>
          </cell>
          <cell r="G1587" t="str">
            <v>unit</v>
          </cell>
          <cell r="H1587" t="str">
            <v>X</v>
          </cell>
        </row>
        <row r="1588">
          <cell r="F1588" t="str">
            <v>Roof tank fiberglass kap. 4 m3</v>
          </cell>
          <cell r="G1588" t="str">
            <v>unit</v>
          </cell>
          <cell r="H1588" t="str">
            <v>X</v>
          </cell>
        </row>
        <row r="1589">
          <cell r="F1589" t="str">
            <v>Roof tank stainless kap. 12 m3</v>
          </cell>
          <cell r="G1589" t="str">
            <v>unit</v>
          </cell>
          <cell r="H1589" t="str">
            <v>X</v>
          </cell>
        </row>
        <row r="1590">
          <cell r="F1590" t="str">
            <v>Roof tank stainless kap. 2 m3</v>
          </cell>
          <cell r="G1590" t="str">
            <v>unit</v>
          </cell>
          <cell r="H1590" t="str">
            <v>X</v>
          </cell>
        </row>
        <row r="1591">
          <cell r="F1591" t="str">
            <v>Roof tank stainless kap. 4 m3</v>
          </cell>
          <cell r="G1591" t="str">
            <v>unit</v>
          </cell>
          <cell r="H1591" t="str">
            <v>X</v>
          </cell>
        </row>
        <row r="1592">
          <cell r="F1592" t="str">
            <v>Sand filter kap. 0,1 m3/hari</v>
          </cell>
          <cell r="G1592" t="str">
            <v>unit</v>
          </cell>
          <cell r="H1592" t="str">
            <v>X</v>
          </cell>
        </row>
        <row r="1593">
          <cell r="F1593" t="str">
            <v>Sand filter kap. 14 m3/hari</v>
          </cell>
          <cell r="G1593" t="str">
            <v>unit</v>
          </cell>
          <cell r="H1593" t="str">
            <v>X</v>
          </cell>
        </row>
        <row r="1594">
          <cell r="F1594" t="str">
            <v>Sekat kubikel</v>
          </cell>
          <cell r="G1594" t="str">
            <v>m2</v>
          </cell>
          <cell r="H1594" t="str">
            <v>X</v>
          </cell>
        </row>
        <row r="1595">
          <cell r="F1595" t="str">
            <v>Septic  0,6</v>
          </cell>
          <cell r="G1595" t="str">
            <v>unit</v>
          </cell>
          <cell r="H1595" t="str">
            <v>X</v>
          </cell>
        </row>
        <row r="1596">
          <cell r="F1596" t="str">
            <v>Septic  0,8</v>
          </cell>
          <cell r="G1596" t="str">
            <v>unit</v>
          </cell>
          <cell r="H1596" t="str">
            <v>X</v>
          </cell>
        </row>
        <row r="1597">
          <cell r="F1597" t="str">
            <v>Septic  1</v>
          </cell>
          <cell r="G1597" t="str">
            <v>unit</v>
          </cell>
          <cell r="H1597" t="str">
            <v>X</v>
          </cell>
        </row>
        <row r="1598">
          <cell r="F1598" t="str">
            <v>Septic  2</v>
          </cell>
          <cell r="G1598" t="str">
            <v>unit</v>
          </cell>
          <cell r="H1598" t="str">
            <v>X</v>
          </cell>
        </row>
        <row r="1599">
          <cell r="F1599" t="str">
            <v>Septic  5</v>
          </cell>
          <cell r="G1599" t="str">
            <v>unit</v>
          </cell>
          <cell r="H1599" t="str">
            <v>X</v>
          </cell>
        </row>
        <row r="1600">
          <cell r="F1600" t="str">
            <v>Sewage Treatment Plant (STP) fiberglass kap. 10 m3</v>
          </cell>
          <cell r="G1600" t="str">
            <v>unit</v>
          </cell>
          <cell r="H1600" t="str">
            <v>X</v>
          </cell>
        </row>
        <row r="1601">
          <cell r="F1601" t="str">
            <v>Sewage Treatment Plant (STP) fiberglass kap. 2 m3</v>
          </cell>
          <cell r="G1601" t="str">
            <v>unit</v>
          </cell>
          <cell r="H1601" t="str">
            <v>X</v>
          </cell>
        </row>
        <row r="1602">
          <cell r="F1602" t="str">
            <v>Sewage Treatment Plant (STP) fiberglass kap. 30 m3</v>
          </cell>
          <cell r="G1602" t="str">
            <v>unit</v>
          </cell>
          <cell r="H1602" t="str">
            <v>X</v>
          </cell>
        </row>
        <row r="1603">
          <cell r="F1603" t="str">
            <v>Sewage Treatment Plant (STP) fiberglass kap. 5 m3</v>
          </cell>
          <cell r="G1603" t="str">
            <v>unit</v>
          </cell>
          <cell r="H1603" t="str">
            <v>X</v>
          </cell>
        </row>
        <row r="1604">
          <cell r="F1604" t="str">
            <v>Sewage Treatment Plant (STP) precast kap. 30 m3</v>
          </cell>
          <cell r="G1604" t="str">
            <v>unit</v>
          </cell>
          <cell r="H1604" t="str">
            <v>X</v>
          </cell>
        </row>
        <row r="1605">
          <cell r="F1605" t="str">
            <v>Silika filter kap. 0,1 m3/hari</v>
          </cell>
          <cell r="G1605" t="str">
            <v>unit</v>
          </cell>
          <cell r="H1605" t="str">
            <v>X</v>
          </cell>
        </row>
        <row r="1606">
          <cell r="F1606" t="str">
            <v>Soap holder</v>
          </cell>
          <cell r="G1606" t="str">
            <v>buah</v>
          </cell>
          <cell r="H1606">
            <v>430700</v>
          </cell>
        </row>
        <row r="1607">
          <cell r="F1607" t="str">
            <v>Stop kran PVC 1/2"</v>
          </cell>
          <cell r="G1607" t="str">
            <v>buah</v>
          </cell>
          <cell r="H1607">
            <v>102200</v>
          </cell>
        </row>
        <row r="1608">
          <cell r="F1608" t="str">
            <v>Stop kran PVC 3/4"</v>
          </cell>
          <cell r="G1608" t="str">
            <v>buah</v>
          </cell>
          <cell r="H1608">
            <v>196900</v>
          </cell>
        </row>
        <row r="1609">
          <cell r="F1609" t="str">
            <v>Submersible cutter pump kap. 100 lpm</v>
          </cell>
          <cell r="G1609" t="str">
            <v>unit</v>
          </cell>
          <cell r="H1609">
            <v>9661600</v>
          </cell>
        </row>
        <row r="1610">
          <cell r="F1610" t="str">
            <v>Tangki toren kap. 0,7 m3</v>
          </cell>
          <cell r="G1610" t="str">
            <v>unit</v>
          </cell>
          <cell r="H1610" t="str">
            <v>X</v>
          </cell>
        </row>
        <row r="1611">
          <cell r="F1611" t="str">
            <v>Tangki toren kap. 1,5 m3</v>
          </cell>
          <cell r="G1611" t="str">
            <v>unit</v>
          </cell>
          <cell r="H1611" t="str">
            <v>X</v>
          </cell>
        </row>
        <row r="1612">
          <cell r="F1612" t="str">
            <v>Tangki toren kap. 2,5 m3</v>
          </cell>
          <cell r="G1612" t="str">
            <v>unit</v>
          </cell>
          <cell r="H1612" t="str">
            <v>X</v>
          </cell>
        </row>
        <row r="1613">
          <cell r="F1613" t="str">
            <v>Tangki toren kap. 3 m3</v>
          </cell>
          <cell r="G1613" t="str">
            <v>unit</v>
          </cell>
          <cell r="H1613">
            <v>7208500</v>
          </cell>
        </row>
        <row r="1614">
          <cell r="F1614" t="str">
            <v>Tangki toren kap. 4 m3</v>
          </cell>
          <cell r="G1614" t="str">
            <v>unit</v>
          </cell>
          <cell r="H1614" t="str">
            <v>X</v>
          </cell>
        </row>
        <row r="1615">
          <cell r="F1615" t="str">
            <v>Tangki toren kap. 5 m3</v>
          </cell>
          <cell r="G1615" t="str">
            <v>unit</v>
          </cell>
          <cell r="H1615">
            <v>9477900</v>
          </cell>
        </row>
        <row r="1616">
          <cell r="F1616" t="str">
            <v>Tangki toren kap. 5,5 m3</v>
          </cell>
          <cell r="G1616" t="str">
            <v>unit</v>
          </cell>
          <cell r="H1616" t="str">
            <v>X</v>
          </cell>
        </row>
        <row r="1617">
          <cell r="F1617" t="str">
            <v>Tangki toren kap. 6 m3</v>
          </cell>
          <cell r="G1617" t="str">
            <v>unit</v>
          </cell>
          <cell r="H1617" t="str">
            <v>X</v>
          </cell>
        </row>
        <row r="1618">
          <cell r="F1618" t="str">
            <v>Tangki Panel FRP kap. 12 m3</v>
          </cell>
          <cell r="G1618" t="str">
            <v xml:space="preserve">unit </v>
          </cell>
          <cell r="H1618" t="str">
            <v>X</v>
          </cell>
        </row>
        <row r="1619">
          <cell r="F1619" t="str">
            <v>Tangki panel Stainless Steel kapasitas 12 m3 + Material Bantu / Aksesoris</v>
          </cell>
          <cell r="G1619" t="str">
            <v xml:space="preserve">Unit </v>
          </cell>
          <cell r="H1619" t="str">
            <v>X</v>
          </cell>
        </row>
        <row r="1620">
          <cell r="F1620" t="str">
            <v>Tangki panel GRP
kapasitas 12 m3 +
Material Bantu /
Aksesoris</v>
          </cell>
          <cell r="G1620" t="str">
            <v xml:space="preserve">Unit </v>
          </cell>
          <cell r="H1620" t="str">
            <v>X</v>
          </cell>
        </row>
        <row r="1621">
          <cell r="F1621" t="str">
            <v>Tangki Toren Kapasitas 0,5 m3</v>
          </cell>
          <cell r="G1621" t="str">
            <v xml:space="preserve">Unit </v>
          </cell>
          <cell r="H1621" t="str">
            <v>X</v>
          </cell>
        </row>
        <row r="1622">
          <cell r="F1622" t="str">
            <v xml:space="preserve">Pompa Jet 30 lpm </v>
          </cell>
          <cell r="G1622" t="str">
            <v>unit</v>
          </cell>
          <cell r="H1622" t="str">
            <v>X</v>
          </cell>
        </row>
        <row r="1623">
          <cell r="F1623" t="str">
            <v>Galian tanah biasa</v>
          </cell>
          <cell r="G1623" t="str">
            <v>m3</v>
          </cell>
          <cell r="H1623" t="str">
            <v>X</v>
          </cell>
        </row>
        <row r="1624">
          <cell r="F1624" t="str">
            <v xml:space="preserve">Urukan Tanah </v>
          </cell>
          <cell r="G1624" t="str">
            <v>m2</v>
          </cell>
          <cell r="H1624" t="str">
            <v>X</v>
          </cell>
        </row>
        <row r="1625">
          <cell r="F1625" t="str">
            <v xml:space="preserve">Timbunan Pasir </v>
          </cell>
          <cell r="G1625" t="str">
            <v>m3</v>
          </cell>
          <cell r="H1625">
            <v>136600</v>
          </cell>
        </row>
        <row r="1626">
          <cell r="F1626" t="str">
            <v xml:space="preserve">Buis Beton 1/2 dia. 30 cm </v>
          </cell>
          <cell r="G1626" t="str">
            <v xml:space="preserve">buah </v>
          </cell>
          <cell r="H1626" t="str">
            <v>X</v>
          </cell>
        </row>
        <row r="1627">
          <cell r="F1627" t="str">
            <v xml:space="preserve">Buis Beton 1/2 dia. 40 cm </v>
          </cell>
          <cell r="G1627" t="str">
            <v xml:space="preserve">buah </v>
          </cell>
          <cell r="H1627" t="str">
            <v>X</v>
          </cell>
        </row>
        <row r="1628">
          <cell r="F1628" t="str">
            <v xml:space="preserve">Buis Beton 1/2 dia. 50 cm </v>
          </cell>
          <cell r="G1628" t="str">
            <v xml:space="preserve">buah </v>
          </cell>
          <cell r="H1628" t="str">
            <v>X</v>
          </cell>
        </row>
        <row r="1629">
          <cell r="F1629" t="str">
            <v xml:space="preserve">Buis Beton 1/2 dia. 60 cm </v>
          </cell>
          <cell r="G1629" t="str">
            <v xml:space="preserve">buah </v>
          </cell>
          <cell r="H1629" t="str">
            <v>X</v>
          </cell>
        </row>
        <row r="1630">
          <cell r="F1630" t="str">
            <v xml:space="preserve">Buis beton 1/2 dia. 80 cm </v>
          </cell>
          <cell r="G1630" t="str">
            <v xml:space="preserve">buah </v>
          </cell>
          <cell r="H1630">
            <v>404476</v>
          </cell>
        </row>
        <row r="1631">
          <cell r="F1631" t="str">
            <v xml:space="preserve">Buis Beton 1/2 dia. 100 cm </v>
          </cell>
          <cell r="G1631" t="str">
            <v xml:space="preserve">buah </v>
          </cell>
          <cell r="H1631">
            <v>404476</v>
          </cell>
        </row>
        <row r="1632">
          <cell r="F1632" t="str">
            <v xml:space="preserve">Buis Beton dia. 30 cm </v>
          </cell>
          <cell r="G1632" t="str">
            <v xml:space="preserve">buah </v>
          </cell>
          <cell r="H1632">
            <v>115623</v>
          </cell>
        </row>
        <row r="1633">
          <cell r="F1633" t="str">
            <v xml:space="preserve">Buis Beton dia. 40 cm </v>
          </cell>
          <cell r="G1633" t="str">
            <v xml:space="preserve">buah </v>
          </cell>
          <cell r="H1633">
            <v>173435</v>
          </cell>
        </row>
        <row r="1634">
          <cell r="F1634" t="str">
            <v xml:space="preserve">Buis Beton dia. 50 cm </v>
          </cell>
          <cell r="G1634" t="str">
            <v xml:space="preserve">buah </v>
          </cell>
          <cell r="H1634">
            <v>228782</v>
          </cell>
        </row>
        <row r="1635">
          <cell r="F1635" t="str">
            <v xml:space="preserve">Buis Beton dia. 60 cm </v>
          </cell>
          <cell r="G1635" t="str">
            <v xml:space="preserve">buah </v>
          </cell>
          <cell r="H1635">
            <v>300559</v>
          </cell>
        </row>
        <row r="1636">
          <cell r="F1636" t="str">
            <v xml:space="preserve">Buis beton dia. 80 cm </v>
          </cell>
          <cell r="G1636" t="str">
            <v xml:space="preserve">buah </v>
          </cell>
          <cell r="H1636" t="str">
            <v>X</v>
          </cell>
        </row>
        <row r="1637">
          <cell r="F1637" t="str">
            <v xml:space="preserve">Buis Beton dia. 100 cm </v>
          </cell>
          <cell r="G1637" t="str">
            <v xml:space="preserve">buah </v>
          </cell>
          <cell r="H1637" t="str">
            <v>X</v>
          </cell>
        </row>
        <row r="1638">
          <cell r="F1638" t="str">
            <v xml:space="preserve">Ijuk </v>
          </cell>
          <cell r="G1638" t="str">
            <v xml:space="preserve">kg </v>
          </cell>
          <cell r="H1638">
            <v>35700</v>
          </cell>
        </row>
        <row r="1639">
          <cell r="F1639" t="str">
            <v xml:space="preserve">Beton </v>
          </cell>
          <cell r="G1639" t="str">
            <v>m3</v>
          </cell>
          <cell r="H1639">
            <v>852800</v>
          </cell>
        </row>
        <row r="1640">
          <cell r="F1640" t="str">
            <v xml:space="preserve">tulangan </v>
          </cell>
          <cell r="G1640" t="str">
            <v>kg</v>
          </cell>
          <cell r="H1640">
            <v>18600</v>
          </cell>
        </row>
        <row r="1641">
          <cell r="F1641" t="str">
            <v xml:space="preserve">Bekisting </v>
          </cell>
          <cell r="G1641" t="str">
            <v>m2</v>
          </cell>
          <cell r="H1641">
            <v>255400</v>
          </cell>
        </row>
        <row r="1642">
          <cell r="F1642" t="str">
            <v>Kanstin uk. 10x20x40</v>
          </cell>
          <cell r="G1642" t="str">
            <v xml:space="preserve">Buah </v>
          </cell>
          <cell r="H1642">
            <v>32400</v>
          </cell>
        </row>
        <row r="1643">
          <cell r="F1643" t="str">
            <v>Kanstin uk. 15x40x60</v>
          </cell>
          <cell r="G1643" t="str">
            <v xml:space="preserve">buah </v>
          </cell>
          <cell r="H1643" t="str">
            <v>X</v>
          </cell>
        </row>
        <row r="1644">
          <cell r="F1644" t="str">
            <v>Box Culvert 40x40x100 cm</v>
          </cell>
          <cell r="G1644" t="str">
            <v xml:space="preserve">buah </v>
          </cell>
          <cell r="H1644">
            <v>811300</v>
          </cell>
        </row>
        <row r="1645">
          <cell r="F1645" t="str">
            <v>Box Culvert 50x50x100 cm</v>
          </cell>
          <cell r="G1645" t="str">
            <v xml:space="preserve">buah </v>
          </cell>
          <cell r="H1645">
            <v>1150100</v>
          </cell>
        </row>
        <row r="1646">
          <cell r="F1646" t="str">
            <v>Box Culvert 60x60x100 cm</v>
          </cell>
          <cell r="G1646" t="str">
            <v xml:space="preserve">buah </v>
          </cell>
          <cell r="H1646">
            <v>1622500</v>
          </cell>
        </row>
        <row r="1647">
          <cell r="F1647" t="str">
            <v>Box Culvert 80x80x100 cm</v>
          </cell>
          <cell r="G1647" t="str">
            <v xml:space="preserve">buah </v>
          </cell>
          <cell r="H1647">
            <v>2361800</v>
          </cell>
        </row>
        <row r="1648">
          <cell r="F1648" t="str">
            <v>Box Culvert 100x100x100 cm</v>
          </cell>
          <cell r="G1648" t="str">
            <v xml:space="preserve">buah </v>
          </cell>
          <cell r="H1648">
            <v>3286000</v>
          </cell>
        </row>
        <row r="1649">
          <cell r="F1649" t="str">
            <v>Box Culvert 150x150x100 cm</v>
          </cell>
          <cell r="G1649" t="str">
            <v xml:space="preserve">buah </v>
          </cell>
          <cell r="H1649">
            <v>6469200</v>
          </cell>
        </row>
        <row r="1650">
          <cell r="F1650" t="str">
            <v>Box Culvert 200x200x100 cm</v>
          </cell>
          <cell r="G1650" t="str">
            <v xml:space="preserve">buah </v>
          </cell>
          <cell r="H1650">
            <v>12014200</v>
          </cell>
        </row>
        <row r="1651">
          <cell r="F1651" t="str">
            <v>Box Culvert 300x300x100 cm</v>
          </cell>
          <cell r="G1651" t="str">
            <v xml:space="preserve">buah </v>
          </cell>
          <cell r="H1651">
            <v>19612900</v>
          </cell>
        </row>
        <row r="1652">
          <cell r="F1652" t="str">
            <v>Tempat  sabun gantung</v>
          </cell>
          <cell r="G1652" t="str">
            <v>buah</v>
          </cell>
          <cell r="H1652" t="str">
            <v>X</v>
          </cell>
        </row>
        <row r="1653">
          <cell r="F1653" t="str">
            <v>Tempat  sabun tanam</v>
          </cell>
          <cell r="G1653" t="str">
            <v>buah</v>
          </cell>
          <cell r="H1653" t="str">
            <v>X</v>
          </cell>
        </row>
        <row r="1654">
          <cell r="F1654" t="str">
            <v>Tissue holder</v>
          </cell>
          <cell r="G1654" t="str">
            <v>buah</v>
          </cell>
          <cell r="H1654">
            <v>103400</v>
          </cell>
        </row>
        <row r="1655">
          <cell r="F1655" t="str">
            <v>Towel bar</v>
          </cell>
          <cell r="G1655" t="str">
            <v>buah</v>
          </cell>
          <cell r="H1655" t="str">
            <v>X</v>
          </cell>
        </row>
        <row r="1656">
          <cell r="F1656" t="str">
            <v>Urinoir</v>
          </cell>
          <cell r="G1656" t="str">
            <v>buah</v>
          </cell>
          <cell r="H1656">
            <v>10328700</v>
          </cell>
        </row>
        <row r="1657">
          <cell r="F1657" t="str">
            <v>Wastafel</v>
          </cell>
          <cell r="G1657" t="str">
            <v>buah</v>
          </cell>
          <cell r="H1657">
            <v>5628300</v>
          </cell>
        </row>
        <row r="1658">
          <cell r="F1658" t="str">
            <v>Water drain</v>
          </cell>
          <cell r="G1658" t="str">
            <v>set</v>
          </cell>
          <cell r="H1658">
            <v>89500</v>
          </cell>
        </row>
        <row r="1659">
          <cell r="H1659" t="str">
            <v>X</v>
          </cell>
        </row>
        <row r="1660">
          <cell r="F1660" t="str">
            <v>Bensin</v>
          </cell>
          <cell r="G1660" t="str">
            <v>liter</v>
          </cell>
          <cell r="H1660">
            <v>10800</v>
          </cell>
        </row>
        <row r="1661">
          <cell r="F1661" t="str">
            <v>Bensin (industri)</v>
          </cell>
          <cell r="G1661" t="str">
            <v>liter</v>
          </cell>
          <cell r="H1661">
            <v>18400</v>
          </cell>
        </row>
        <row r="1662">
          <cell r="F1662" t="str">
            <v>Bentonite</v>
          </cell>
          <cell r="G1662" t="str">
            <v>m3</v>
          </cell>
          <cell r="H1662">
            <v>24200000</v>
          </cell>
        </row>
        <row r="1663">
          <cell r="F1663" t="str">
            <v>Cairan perontok karat</v>
          </cell>
          <cell r="G1663" t="str">
            <v>kg</v>
          </cell>
          <cell r="H1663">
            <v>190600</v>
          </cell>
        </row>
        <row r="1664">
          <cell r="F1664" t="str">
            <v>Cuka bibit</v>
          </cell>
          <cell r="G1664" t="str">
            <v>liter</v>
          </cell>
          <cell r="H1664">
            <v>44500</v>
          </cell>
        </row>
        <row r="1665">
          <cell r="F1665" t="str">
            <v>Minyak bekisting</v>
          </cell>
          <cell r="G1665" t="str">
            <v>liter</v>
          </cell>
          <cell r="H1665">
            <v>51900</v>
          </cell>
        </row>
        <row r="1666">
          <cell r="F1666" t="str">
            <v>Minyak cat</v>
          </cell>
          <cell r="G1666" t="str">
            <v>kg</v>
          </cell>
          <cell r="H1666">
            <v>127400</v>
          </cell>
        </row>
        <row r="1667">
          <cell r="F1667" t="str">
            <v>Minyak pelumas</v>
          </cell>
          <cell r="G1667" t="str">
            <v>liter</v>
          </cell>
          <cell r="H1667">
            <v>94400</v>
          </cell>
        </row>
        <row r="1668">
          <cell r="F1668" t="str">
            <v>Minyak tanah</v>
          </cell>
          <cell r="G1668" t="str">
            <v>liter</v>
          </cell>
          <cell r="H1668">
            <v>24300</v>
          </cell>
        </row>
        <row r="1669">
          <cell r="F1669" t="str">
            <v>Oli hidrolis</v>
          </cell>
          <cell r="G1669" t="str">
            <v>liter</v>
          </cell>
          <cell r="H1669">
            <v>49100</v>
          </cell>
        </row>
        <row r="1670">
          <cell r="F1670" t="str">
            <v>Oli mesin</v>
          </cell>
          <cell r="G1670" t="str">
            <v>liter</v>
          </cell>
          <cell r="H1670">
            <v>45400</v>
          </cell>
        </row>
        <row r="1671">
          <cell r="F1671" t="str">
            <v>Premium (industri)</v>
          </cell>
          <cell r="G1671" t="str">
            <v>liter</v>
          </cell>
          <cell r="H1671" t="str">
            <v>X</v>
          </cell>
        </row>
        <row r="1672">
          <cell r="F1672" t="str">
            <v>Residu</v>
          </cell>
          <cell r="G1672" t="str">
            <v>liter</v>
          </cell>
          <cell r="H1672">
            <v>90300</v>
          </cell>
        </row>
        <row r="1673">
          <cell r="F1673" t="str">
            <v>Solar</v>
          </cell>
          <cell r="G1673" t="str">
            <v>liter</v>
          </cell>
          <cell r="H1673" t="str">
            <v>X</v>
          </cell>
        </row>
        <row r="1674">
          <cell r="F1674" t="str">
            <v>Solar (industri)</v>
          </cell>
          <cell r="G1674" t="str">
            <v>liter</v>
          </cell>
          <cell r="H1674">
            <v>22800</v>
          </cell>
        </row>
        <row r="1675">
          <cell r="F1675" t="str">
            <v>Steamvet</v>
          </cell>
          <cell r="G1675" t="str">
            <v>liter</v>
          </cell>
          <cell r="H1675" t="str">
            <v>X</v>
          </cell>
        </row>
        <row r="1676">
          <cell r="F1676" t="str">
            <v>Teak oil</v>
          </cell>
          <cell r="G1676" t="str">
            <v>liter</v>
          </cell>
          <cell r="H1676">
            <v>81900</v>
          </cell>
        </row>
        <row r="1677">
          <cell r="F1677" t="str">
            <v>Thinner</v>
          </cell>
          <cell r="G1677" t="str">
            <v>liter</v>
          </cell>
          <cell r="H1677">
            <v>53700</v>
          </cell>
        </row>
        <row r="1678">
          <cell r="F1678" t="str">
            <v>Thinner A</v>
          </cell>
          <cell r="G1678" t="str">
            <v>liter</v>
          </cell>
          <cell r="H1678">
            <v>71500</v>
          </cell>
        </row>
        <row r="1679">
          <cell r="H1679" t="str">
            <v>X</v>
          </cell>
        </row>
        <row r="1680">
          <cell r="F1680" t="str">
            <v>Aluminium composite panel</v>
          </cell>
          <cell r="G1680" t="str">
            <v>m2</v>
          </cell>
          <cell r="H1680">
            <v>398500</v>
          </cell>
        </row>
        <row r="1681">
          <cell r="F1681" t="str">
            <v>Aluminium spandrel 10x600 cm</v>
          </cell>
          <cell r="G1681" t="str">
            <v>lembar</v>
          </cell>
          <cell r="H1681" t="str">
            <v>X</v>
          </cell>
        </row>
        <row r="1682">
          <cell r="F1682" t="str">
            <v>Aluminium strip</v>
          </cell>
          <cell r="G1682" t="str">
            <v>m'</v>
          </cell>
          <cell r="H1682">
            <v>18900</v>
          </cell>
        </row>
        <row r="1683">
          <cell r="F1683" t="str">
            <v>Besi as  drat</v>
          </cell>
          <cell r="G1683" t="str">
            <v>kg</v>
          </cell>
          <cell r="H1683" t="str">
            <v>X</v>
          </cell>
        </row>
        <row r="1684">
          <cell r="F1684" t="str">
            <v>Besi profil</v>
          </cell>
          <cell r="G1684" t="str">
            <v>kg</v>
          </cell>
          <cell r="H1684">
            <v>26600</v>
          </cell>
        </row>
        <row r="1685">
          <cell r="F1685" t="str">
            <v>Blok besi cor type skep</v>
          </cell>
          <cell r="G1685" t="str">
            <v>bh</v>
          </cell>
          <cell r="H1685" t="str">
            <v>X</v>
          </cell>
        </row>
        <row r="1686">
          <cell r="F1686" t="str">
            <v>Blok besi type ronsel</v>
          </cell>
          <cell r="G1686" t="str">
            <v>bh</v>
          </cell>
          <cell r="H1686" t="str">
            <v>X</v>
          </cell>
        </row>
        <row r="1687">
          <cell r="F1687" t="str">
            <v>Buis  brons</v>
          </cell>
          <cell r="G1687" t="str">
            <v>bh</v>
          </cell>
          <cell r="H1687" t="str">
            <v>X</v>
          </cell>
        </row>
        <row r="1688">
          <cell r="F1688" t="str">
            <v>C  channel galvanis  lebar 40 mm</v>
          </cell>
          <cell r="G1688" t="str">
            <v>m'</v>
          </cell>
          <cell r="H1688" t="str">
            <v>X</v>
          </cell>
        </row>
        <row r="1689">
          <cell r="F1689" t="str">
            <v>C  channel galvanis  lebar 75 mm</v>
          </cell>
          <cell r="G1689" t="str">
            <v>m'</v>
          </cell>
          <cell r="H1689" t="str">
            <v>X</v>
          </cell>
        </row>
        <row r="1690">
          <cell r="F1690" t="str">
            <v>Cat  meni</v>
          </cell>
          <cell r="G1690" t="str">
            <v>kg</v>
          </cell>
          <cell r="H1690">
            <v>108800</v>
          </cell>
        </row>
        <row r="1691">
          <cell r="F1691" t="str">
            <v>Daun Pintu HDF 36x720x2100</v>
          </cell>
          <cell r="G1691" t="str">
            <v>unit</v>
          </cell>
          <cell r="H1691" t="str">
            <v>X</v>
          </cell>
        </row>
        <row r="1692">
          <cell r="F1692" t="str">
            <v xml:space="preserve">Pintu uPVC lebar 80 cm </v>
          </cell>
          <cell r="G1692" t="str">
            <v xml:space="preserve">buah </v>
          </cell>
          <cell r="H1692" t="str">
            <v>X</v>
          </cell>
        </row>
        <row r="1693">
          <cell r="F1693" t="str">
            <v xml:space="preserve">Pintu uPVC lebar 70 cm </v>
          </cell>
          <cell r="G1693" t="str">
            <v xml:space="preserve">buah </v>
          </cell>
          <cell r="H1693" t="str">
            <v>X</v>
          </cell>
        </row>
        <row r="1694">
          <cell r="F1694" t="str">
            <v>Frame aluminium</v>
          </cell>
          <cell r="G1694" t="str">
            <v>m'</v>
          </cell>
          <cell r="H1694">
            <v>40500</v>
          </cell>
        </row>
        <row r="1695">
          <cell r="F1695" t="str">
            <v>Rangka Aluminium</v>
          </cell>
          <cell r="G1695" t="str">
            <v>m'</v>
          </cell>
          <cell r="H1695">
            <v>199900</v>
          </cell>
        </row>
        <row r="1696">
          <cell r="F1696" t="str">
            <v>Gembok</v>
          </cell>
          <cell r="G1696" t="str">
            <v>bh</v>
          </cell>
          <cell r="H1696">
            <v>202800</v>
          </cell>
        </row>
        <row r="1697">
          <cell r="F1697" t="str">
            <v>Grease</v>
          </cell>
          <cell r="G1697" t="str">
            <v>kg</v>
          </cell>
          <cell r="H1697" t="str">
            <v>X</v>
          </cell>
        </row>
        <row r="1698">
          <cell r="F1698" t="str">
            <v>Hollow  galvanis  20x40x0,4 mm</v>
          </cell>
          <cell r="G1698" t="str">
            <v>m'</v>
          </cell>
          <cell r="H1698" t="str">
            <v>X</v>
          </cell>
        </row>
        <row r="1699">
          <cell r="F1699" t="str">
            <v>Metal Hollow 20x40 mm</v>
          </cell>
          <cell r="G1699" t="str">
            <v>m'</v>
          </cell>
          <cell r="H1699" t="str">
            <v>X</v>
          </cell>
        </row>
        <row r="1700">
          <cell r="F1700" t="str">
            <v>Hollow galvanis 40x40x0,4 mm</v>
          </cell>
          <cell r="G1700" t="str">
            <v>m'</v>
          </cell>
          <cell r="H1700" t="str">
            <v>X</v>
          </cell>
        </row>
        <row r="1701">
          <cell r="F1701" t="str">
            <v>Jalusi aluminium</v>
          </cell>
          <cell r="G1701" t="str">
            <v>m2</v>
          </cell>
          <cell r="H1701">
            <v>803300</v>
          </cell>
        </row>
        <row r="1702">
          <cell r="F1702" t="str">
            <v>Jalusi uPVC</v>
          </cell>
          <cell r="G1702" t="str">
            <v xml:space="preserve">buah </v>
          </cell>
          <cell r="H1702" t="str">
            <v>X</v>
          </cell>
        </row>
        <row r="1703">
          <cell r="F1703" t="str">
            <v>Kontra mur type ronsel</v>
          </cell>
          <cell r="G1703" t="str">
            <v>bh</v>
          </cell>
          <cell r="H1703" t="str">
            <v>X</v>
          </cell>
        </row>
        <row r="1704">
          <cell r="F1704" t="str">
            <v>Kontra mur type skep</v>
          </cell>
          <cell r="G1704" t="str">
            <v>bh</v>
          </cell>
          <cell r="H1704" t="str">
            <v>X</v>
          </cell>
        </row>
        <row r="1705">
          <cell r="F1705" t="str">
            <v>kopel/universal join</v>
          </cell>
          <cell r="G1705" t="str">
            <v>bh</v>
          </cell>
          <cell r="H1705" t="str">
            <v>X</v>
          </cell>
        </row>
        <row r="1706">
          <cell r="F1706" t="str">
            <v>Kusen aluminium 4"  putih</v>
          </cell>
          <cell r="G1706" t="str">
            <v>m'</v>
          </cell>
          <cell r="H1706">
            <v>315900</v>
          </cell>
        </row>
        <row r="1707">
          <cell r="F1707" t="str">
            <v>Kusen Bovenlight Upvc</v>
          </cell>
          <cell r="G1707" t="str">
            <v xml:space="preserve">bauh </v>
          </cell>
          <cell r="H1707" t="str">
            <v>X</v>
          </cell>
        </row>
        <row r="1708">
          <cell r="F1708" t="str">
            <v>Lager type ronsel</v>
          </cell>
          <cell r="G1708" t="str">
            <v>bh</v>
          </cell>
          <cell r="H1708" t="str">
            <v>X</v>
          </cell>
        </row>
        <row r="1709">
          <cell r="F1709" t="str">
            <v>Lager type skep</v>
          </cell>
          <cell r="G1709" t="str">
            <v>bh</v>
          </cell>
          <cell r="H1709" t="str">
            <v>X</v>
          </cell>
        </row>
        <row r="1710">
          <cell r="F1710" t="str">
            <v>Mur baut  1/2"  x  4"</v>
          </cell>
          <cell r="G1710" t="str">
            <v>bh</v>
          </cell>
          <cell r="H1710" t="str">
            <v>X</v>
          </cell>
        </row>
        <row r="1711">
          <cell r="F1711" t="str">
            <v>Mur baut  5/8"  x  4"</v>
          </cell>
          <cell r="G1711" t="str">
            <v>bh</v>
          </cell>
          <cell r="H1711" t="str">
            <v>X</v>
          </cell>
        </row>
        <row r="1712">
          <cell r="F1712" t="str">
            <v>Mur baut  M8 steinless</v>
          </cell>
          <cell r="G1712" t="str">
            <v>bh</v>
          </cell>
          <cell r="H1712" t="str">
            <v>X</v>
          </cell>
        </row>
        <row r="1713">
          <cell r="F1713" t="str">
            <v xml:space="preserve">Baut dan Mur f12 L=4" </v>
          </cell>
          <cell r="G1713" t="str">
            <v xml:space="preserve">buah </v>
          </cell>
          <cell r="H1713" t="str">
            <v>X</v>
          </cell>
        </row>
        <row r="1714">
          <cell r="F1714" t="str">
            <v>Baut dan Mur f12, L=6"</v>
          </cell>
          <cell r="G1714" t="str">
            <v xml:space="preserve">buah </v>
          </cell>
          <cell r="H1714" t="str">
            <v>X</v>
          </cell>
        </row>
        <row r="1715">
          <cell r="F1715" t="str">
            <v>Baut dan Mur f12, L=7"</v>
          </cell>
          <cell r="G1715" t="str">
            <v xml:space="preserve">buah </v>
          </cell>
          <cell r="H1715" t="str">
            <v>X</v>
          </cell>
        </row>
        <row r="1716">
          <cell r="F1716" t="str">
            <v xml:space="preserve">Ring Plat </v>
          </cell>
          <cell r="G1716" t="str">
            <v xml:space="preserve">buah </v>
          </cell>
          <cell r="H1716" t="str">
            <v>X</v>
          </cell>
        </row>
        <row r="1717">
          <cell r="F1717" t="str">
            <v>Mur brons  ronsel</v>
          </cell>
          <cell r="G1717" t="str">
            <v>kg</v>
          </cell>
          <cell r="H1717" t="str">
            <v>X</v>
          </cell>
        </row>
        <row r="1718">
          <cell r="F1718" t="str">
            <v>Mur brons  type skep</v>
          </cell>
          <cell r="G1718" t="str">
            <v>kg</v>
          </cell>
          <cell r="H1718" t="str">
            <v>X</v>
          </cell>
        </row>
        <row r="1719">
          <cell r="F1719" t="str">
            <v>Pen spindie type ronsel</v>
          </cell>
          <cell r="G1719" t="str">
            <v>bh</v>
          </cell>
          <cell r="H1719" t="str">
            <v>X</v>
          </cell>
        </row>
        <row r="1720">
          <cell r="F1720" t="str">
            <v>Penyangga roda gigi</v>
          </cell>
          <cell r="G1720" t="str">
            <v>bh</v>
          </cell>
          <cell r="H1720" t="str">
            <v>X</v>
          </cell>
        </row>
        <row r="1721">
          <cell r="F1721" t="str">
            <v>Pintu alluminium</v>
          </cell>
          <cell r="G1721" t="str">
            <v>m'</v>
          </cell>
          <cell r="H1721">
            <v>199900</v>
          </cell>
        </row>
        <row r="1722">
          <cell r="F1722" t="str">
            <v>Pintu KM  aluminium</v>
          </cell>
          <cell r="G1722" t="str">
            <v>unit</v>
          </cell>
          <cell r="H1722" t="str">
            <v>X</v>
          </cell>
        </row>
        <row r="1723">
          <cell r="F1723" t="str">
            <v>Pintu lipat  besi</v>
          </cell>
          <cell r="G1723" t="str">
            <v>m2</v>
          </cell>
          <cell r="H1723" t="str">
            <v>X</v>
          </cell>
        </row>
        <row r="1724">
          <cell r="F1724" t="str">
            <v>Pintu lipat PVC</v>
          </cell>
          <cell r="G1724" t="str">
            <v>m2</v>
          </cell>
          <cell r="H1724" t="str">
            <v>X</v>
          </cell>
        </row>
        <row r="1725">
          <cell r="F1725" t="str">
            <v>Plat  peluncur</v>
          </cell>
          <cell r="G1725" t="str">
            <v>kg</v>
          </cell>
          <cell r="H1725" t="str">
            <v>X</v>
          </cell>
        </row>
        <row r="1726">
          <cell r="F1726" t="str">
            <v>Plat besi 3 mm</v>
          </cell>
          <cell r="G1726" t="str">
            <v>kg</v>
          </cell>
          <cell r="H1726">
            <v>30300</v>
          </cell>
        </row>
        <row r="1727">
          <cell r="F1727" t="str">
            <v>Profil aluminium</v>
          </cell>
          <cell r="G1727" t="str">
            <v>m'</v>
          </cell>
          <cell r="H1727">
            <v>37400</v>
          </cell>
        </row>
        <row r="1728">
          <cell r="F1728" t="str">
            <v>Profil Aluminium ”T”</v>
          </cell>
          <cell r="G1728" t="str">
            <v>m'</v>
          </cell>
          <cell r="H1728">
            <v>37400</v>
          </cell>
        </row>
        <row r="1729">
          <cell r="F1729" t="str">
            <v>Profil slimar aluminium</v>
          </cell>
          <cell r="G1729" t="str">
            <v>m'</v>
          </cell>
          <cell r="H1729" t="str">
            <v>X</v>
          </cell>
        </row>
        <row r="1730">
          <cell r="F1730" t="str">
            <v>Rangka metal hollow 40.40.1,2 mm</v>
          </cell>
          <cell r="G1730" t="str">
            <v>m'</v>
          </cell>
          <cell r="H1730" t="str">
            <v>X</v>
          </cell>
        </row>
        <row r="1731">
          <cell r="F1731" t="str">
            <v>Rangka metal hollow 40.40.2 mm</v>
          </cell>
          <cell r="G1731" t="str">
            <v>m'</v>
          </cell>
          <cell r="H1731" t="str">
            <v>X</v>
          </cell>
        </row>
        <row r="1732">
          <cell r="F1732" t="str">
            <v>roda gigi nanas</v>
          </cell>
          <cell r="G1732" t="str">
            <v>bh</v>
          </cell>
          <cell r="H1732" t="str">
            <v>X</v>
          </cell>
        </row>
        <row r="1733">
          <cell r="F1733" t="str">
            <v>Roda gigi pinggiran</v>
          </cell>
          <cell r="G1733" t="str">
            <v>bh</v>
          </cell>
          <cell r="H1733" t="str">
            <v>X</v>
          </cell>
        </row>
        <row r="1734">
          <cell r="F1734" t="str">
            <v>Rolling door aluminium</v>
          </cell>
          <cell r="G1734" t="str">
            <v>m2</v>
          </cell>
          <cell r="H1734">
            <v>1004900</v>
          </cell>
        </row>
        <row r="1735">
          <cell r="F1735" t="str">
            <v>Rolling door besi</v>
          </cell>
          <cell r="G1735" t="str">
            <v>m2</v>
          </cell>
          <cell r="H1735">
            <v>1004900</v>
          </cell>
        </row>
        <row r="1736">
          <cell r="F1736" t="str">
            <v>Rubber seal</v>
          </cell>
          <cell r="G1736" t="str">
            <v>m'</v>
          </cell>
          <cell r="H1736" t="str">
            <v>X</v>
          </cell>
        </row>
        <row r="1737">
          <cell r="F1737" t="str">
            <v>Sliding pintu J4</v>
          </cell>
          <cell r="G1737" t="str">
            <v>buah</v>
          </cell>
          <cell r="H1737" t="str">
            <v>X</v>
          </cell>
        </row>
        <row r="1738">
          <cell r="F1738" t="str">
            <v>Stang draft  diameter 1,5"  +  mur baut</v>
          </cell>
          <cell r="G1738" t="str">
            <v>m'</v>
          </cell>
          <cell r="H1738" t="str">
            <v>X</v>
          </cell>
        </row>
        <row r="1739">
          <cell r="F1739" t="str">
            <v>Stang draft  diameter 1,75"  +  mur baut</v>
          </cell>
          <cell r="G1739" t="str">
            <v>m'</v>
          </cell>
          <cell r="H1739" t="str">
            <v>X</v>
          </cell>
        </row>
        <row r="1740">
          <cell r="F1740" t="str">
            <v>Stang draft  diameter 2"  +  mur baut</v>
          </cell>
          <cell r="G1740" t="str">
            <v>m'</v>
          </cell>
          <cell r="H1740" t="str">
            <v>X</v>
          </cell>
        </row>
        <row r="1741">
          <cell r="F1741" t="str">
            <v>Stang draft  diameter 2,25"  +  mur baut</v>
          </cell>
          <cell r="G1741" t="str">
            <v>m'</v>
          </cell>
          <cell r="H1741" t="str">
            <v>X</v>
          </cell>
        </row>
        <row r="1742">
          <cell r="F1742" t="str">
            <v>Stang gembok</v>
          </cell>
          <cell r="G1742" t="str">
            <v>bh</v>
          </cell>
          <cell r="H1742" t="str">
            <v>X</v>
          </cell>
        </row>
        <row r="1743">
          <cell r="F1743" t="str">
            <v>Stang pemutar type ronsel</v>
          </cell>
          <cell r="G1743" t="str">
            <v>bh</v>
          </cell>
          <cell r="H1743" t="str">
            <v>X</v>
          </cell>
        </row>
        <row r="1744">
          <cell r="F1744" t="str">
            <v>Stang pemutar type skep</v>
          </cell>
          <cell r="G1744" t="str">
            <v>bh</v>
          </cell>
          <cell r="H1744" t="str">
            <v>X</v>
          </cell>
        </row>
        <row r="1745">
          <cell r="F1745" t="str">
            <v>Sunscreen aluminium</v>
          </cell>
          <cell r="G1745" t="str">
            <v>m2</v>
          </cell>
          <cell r="H1745">
            <v>388600</v>
          </cell>
        </row>
        <row r="1746">
          <cell r="F1746" t="str">
            <v>Talang galvalum lebar 50 cm tebal 0,4 mm</v>
          </cell>
          <cell r="G1746" t="str">
            <v>m'</v>
          </cell>
          <cell r="H1746" t="str">
            <v>X</v>
          </cell>
        </row>
        <row r="1747">
          <cell r="F1747" t="str">
            <v>Talang datar/jurai seng lebar 90cm</v>
          </cell>
          <cell r="G1747" t="str">
            <v>m</v>
          </cell>
          <cell r="H1747">
            <v>91600</v>
          </cell>
        </row>
        <row r="1748">
          <cell r="F1748" t="str">
            <v xml:space="preserve">Talang Seng 1/2 lingkaran diameter 15cm </v>
          </cell>
          <cell r="G1748" t="str">
            <v>m</v>
          </cell>
          <cell r="H1748">
            <v>262600</v>
          </cell>
        </row>
        <row r="1749">
          <cell r="F1749" t="str">
            <v>Thinner</v>
          </cell>
          <cell r="G1749" t="str">
            <v>ltr</v>
          </cell>
          <cell r="H1749">
            <v>53700</v>
          </cell>
        </row>
        <row r="1750">
          <cell r="H1750" t="str">
            <v>X</v>
          </cell>
        </row>
        <row r="1751">
          <cell r="F1751" t="str">
            <v>Hanger tray panjang 2,5 m</v>
          </cell>
          <cell r="G1751" t="str">
            <v>buah</v>
          </cell>
          <cell r="H1751" t="str">
            <v>X</v>
          </cell>
        </row>
        <row r="1752">
          <cell r="F1752" t="str">
            <v>Kabel BCC 10 mm² (0,10 kg/m)</v>
          </cell>
          <cell r="G1752" t="str">
            <v>m'</v>
          </cell>
          <cell r="H1752" t="str">
            <v>X</v>
          </cell>
        </row>
        <row r="1753">
          <cell r="F1753" t="str">
            <v>Kabel BCC 16 mm² (0,16 kg/m)</v>
          </cell>
          <cell r="G1753" t="str">
            <v>m'</v>
          </cell>
          <cell r="H1753" t="str">
            <v>X</v>
          </cell>
        </row>
        <row r="1754">
          <cell r="F1754" t="str">
            <v>Kabel BCC 25 mm² (0,25 kg/m)</v>
          </cell>
          <cell r="G1754" t="str">
            <v>m'</v>
          </cell>
          <cell r="H1754" t="str">
            <v>X</v>
          </cell>
        </row>
        <row r="1755">
          <cell r="F1755" t="str">
            <v>Kabel BCC 35 mm² (0,35 kg/m)</v>
          </cell>
          <cell r="G1755" t="str">
            <v>m'</v>
          </cell>
          <cell r="H1755" t="str">
            <v>X</v>
          </cell>
        </row>
        <row r="1756">
          <cell r="F1756" t="str">
            <v>Kabel BCC 4 mm² (0,04 kg/m)</v>
          </cell>
          <cell r="G1756" t="str">
            <v>m'</v>
          </cell>
          <cell r="H1756" t="str">
            <v>X</v>
          </cell>
        </row>
        <row r="1757">
          <cell r="F1757" t="str">
            <v>Kabel BCC 50 mm² (0,50 kg/m)</v>
          </cell>
          <cell r="G1757" t="str">
            <v>m'</v>
          </cell>
          <cell r="H1757" t="str">
            <v>X</v>
          </cell>
        </row>
        <row r="1758">
          <cell r="F1758" t="str">
            <v>Kabel BCC 6 mm² (0,06 kg/m)</v>
          </cell>
          <cell r="G1758" t="str">
            <v>m'</v>
          </cell>
          <cell r="H1758" t="str">
            <v>X</v>
          </cell>
        </row>
        <row r="1759">
          <cell r="F1759" t="str">
            <v>BCC 6 mm2 (0,06 kg/m) dan aksesoris</v>
          </cell>
          <cell r="G1759" t="str">
            <v>m'</v>
          </cell>
          <cell r="H1759" t="str">
            <v>X</v>
          </cell>
        </row>
        <row r="1760">
          <cell r="F1760" t="str">
            <v>Kabel BCC 70 mm² (0,70 kg/m)</v>
          </cell>
          <cell r="G1760" t="str">
            <v>m'</v>
          </cell>
          <cell r="H1760" t="str">
            <v>X</v>
          </cell>
        </row>
        <row r="1761">
          <cell r="F1761" t="str">
            <v>Kabel BCC 95 mm² (0,95 kg/m)</v>
          </cell>
          <cell r="G1761" t="str">
            <v>m'</v>
          </cell>
          <cell r="H1761" t="str">
            <v>X</v>
          </cell>
        </row>
        <row r="1762">
          <cell r="F1762" t="str">
            <v>Kabel FRC 1 x 150 mm²</v>
          </cell>
          <cell r="G1762" t="str">
            <v>m'</v>
          </cell>
          <cell r="H1762" t="str">
            <v>X</v>
          </cell>
        </row>
        <row r="1763">
          <cell r="F1763" t="str">
            <v>Kabel FRC 2 x 1,5 mm²</v>
          </cell>
          <cell r="G1763" t="str">
            <v>m'</v>
          </cell>
          <cell r="H1763" t="str">
            <v>X</v>
          </cell>
        </row>
        <row r="1764">
          <cell r="F1764" t="str">
            <v>Kabel FRC 2 x 1,5 mm2 + PVC Conduit HI 20 mm dan aksesoris</v>
          </cell>
          <cell r="G1764" t="str">
            <v>m'</v>
          </cell>
          <cell r="H1764" t="str">
            <v>X</v>
          </cell>
        </row>
        <row r="1765">
          <cell r="F1765" t="str">
            <v>Kabel FRC 2 x 2,5 mm²</v>
          </cell>
          <cell r="G1765" t="str">
            <v>m'</v>
          </cell>
          <cell r="H1765">
            <v>50000</v>
          </cell>
        </row>
        <row r="1766">
          <cell r="F1766" t="str">
            <v>Kabel FRC 2 x 2,5 mm2 + PVC Conduit HI 20 mm dan aksesoris</v>
          </cell>
          <cell r="G1766" t="str">
            <v>m'</v>
          </cell>
          <cell r="H1766">
            <v>50000</v>
          </cell>
        </row>
        <row r="1767">
          <cell r="F1767" t="str">
            <v>Kabel FRC 3 x 2,5 mm²</v>
          </cell>
          <cell r="G1767" t="str">
            <v>m'</v>
          </cell>
          <cell r="H1767" t="str">
            <v>X</v>
          </cell>
        </row>
        <row r="1768">
          <cell r="F1768" t="str">
            <v>Kabel FRC 4 x 150 mm²</v>
          </cell>
          <cell r="G1768" t="str">
            <v>m'</v>
          </cell>
          <cell r="H1768" t="str">
            <v>X</v>
          </cell>
        </row>
        <row r="1769">
          <cell r="F1769" t="str">
            <v>Kabel FRC 4 x 4 mm²</v>
          </cell>
          <cell r="G1769" t="str">
            <v>m'</v>
          </cell>
          <cell r="H1769" t="str">
            <v>X</v>
          </cell>
        </row>
        <row r="1770">
          <cell r="F1770" t="str">
            <v>Kabel FRC 4 x 6 mm²</v>
          </cell>
          <cell r="G1770" t="str">
            <v>m'</v>
          </cell>
          <cell r="H1770" t="str">
            <v>X</v>
          </cell>
        </row>
        <row r="1771">
          <cell r="F1771" t="str">
            <v>Kabel NYA 1 x 1,5 mm²</v>
          </cell>
          <cell r="G1771" t="str">
            <v>m'</v>
          </cell>
          <cell r="H1771" t="str">
            <v>X</v>
          </cell>
        </row>
        <row r="1772">
          <cell r="F1772" t="str">
            <v>Kabel NYA 1 x 10 mm²</v>
          </cell>
          <cell r="G1772" t="str">
            <v>m'</v>
          </cell>
          <cell r="H1772" t="str">
            <v>X</v>
          </cell>
        </row>
        <row r="1773">
          <cell r="F1773" t="str">
            <v>Kabel NYA 1 x 16 mm²</v>
          </cell>
          <cell r="G1773" t="str">
            <v>m'</v>
          </cell>
          <cell r="H1773">
            <v>63100</v>
          </cell>
        </row>
        <row r="1774">
          <cell r="F1774" t="str">
            <v>Kabel NYA 1 x 2,5 mm²</v>
          </cell>
          <cell r="G1774" t="str">
            <v>m'</v>
          </cell>
          <cell r="H1774" t="str">
            <v>X</v>
          </cell>
        </row>
        <row r="1775">
          <cell r="F1775" t="str">
            <v>Kabel NYA 1 x 4 mm²</v>
          </cell>
          <cell r="G1775" t="str">
            <v>m'</v>
          </cell>
          <cell r="H1775" t="str">
            <v>X</v>
          </cell>
        </row>
        <row r="1776">
          <cell r="F1776" t="str">
            <v>Kabel NYA 1 x 6 mm²</v>
          </cell>
          <cell r="G1776" t="str">
            <v>m'</v>
          </cell>
          <cell r="H1776" t="str">
            <v>X</v>
          </cell>
        </row>
        <row r="1777">
          <cell r="F1777" t="str">
            <v>Kabel NYA 2 x 1,5 mm²</v>
          </cell>
          <cell r="G1777" t="str">
            <v>m'</v>
          </cell>
          <cell r="H1777" t="str">
            <v>X</v>
          </cell>
        </row>
        <row r="1778">
          <cell r="F1778" t="str">
            <v>Kabel NYA 3 x 1,5 mm²</v>
          </cell>
          <cell r="G1778" t="str">
            <v>m'</v>
          </cell>
          <cell r="H1778" t="str">
            <v>X</v>
          </cell>
        </row>
        <row r="1779">
          <cell r="F1779" t="str">
            <v>Kabel NYA 3 x 2,5 mm²</v>
          </cell>
          <cell r="G1779" t="str">
            <v>m'</v>
          </cell>
          <cell r="H1779" t="str">
            <v>X</v>
          </cell>
        </row>
        <row r="1780">
          <cell r="F1780" t="str">
            <v>Kabel NYA 5 x 2,5 mm²</v>
          </cell>
          <cell r="G1780" t="str">
            <v>m'</v>
          </cell>
          <cell r="H1780" t="str">
            <v>X</v>
          </cell>
        </row>
        <row r="1781">
          <cell r="F1781" t="str">
            <v>Kabel NYA 1 x 35 mm²</v>
          </cell>
          <cell r="G1781" t="str">
            <v>m'</v>
          </cell>
          <cell r="H1781" t="str">
            <v>X</v>
          </cell>
        </row>
        <row r="1782">
          <cell r="F1782" t="str">
            <v>Kabel NYA 1 x 95 mm²</v>
          </cell>
          <cell r="G1782" t="str">
            <v>m'</v>
          </cell>
          <cell r="H1782" t="str">
            <v>X</v>
          </cell>
        </row>
        <row r="1783">
          <cell r="F1783" t="str">
            <v>Kabel NYFGBY 2 x 1,5 mm²</v>
          </cell>
          <cell r="G1783" t="str">
            <v>m'</v>
          </cell>
          <cell r="H1783" t="str">
            <v>X</v>
          </cell>
        </row>
        <row r="1784">
          <cell r="F1784" t="str">
            <v>Kabel NYFGBY 2 x 10 mm²</v>
          </cell>
          <cell r="G1784" t="str">
            <v>m'</v>
          </cell>
          <cell r="H1784" t="str">
            <v>X</v>
          </cell>
        </row>
        <row r="1785">
          <cell r="F1785" t="str">
            <v>Kabel NYFGBY 2 x 16 mm²</v>
          </cell>
          <cell r="G1785" t="str">
            <v>m'</v>
          </cell>
          <cell r="H1785" t="str">
            <v>X</v>
          </cell>
        </row>
        <row r="1786">
          <cell r="F1786" t="str">
            <v>Kabel NYFGBY 2 x 2,5 mm²</v>
          </cell>
          <cell r="G1786" t="str">
            <v>m'</v>
          </cell>
          <cell r="H1786" t="str">
            <v>X</v>
          </cell>
        </row>
        <row r="1787">
          <cell r="F1787" t="str">
            <v>Kabel NYFGBY 2 x 4 mm²</v>
          </cell>
          <cell r="G1787" t="str">
            <v>m'</v>
          </cell>
          <cell r="H1787" t="str">
            <v>X</v>
          </cell>
        </row>
        <row r="1788">
          <cell r="F1788" t="str">
            <v>Kabel NYFGBY 2 x 6 mm²</v>
          </cell>
          <cell r="G1788" t="str">
            <v>m'</v>
          </cell>
          <cell r="H1788" t="str">
            <v>X</v>
          </cell>
        </row>
        <row r="1789">
          <cell r="F1789" t="str">
            <v>Kabel NYFGBY 3 x 1,5 mm²</v>
          </cell>
          <cell r="G1789" t="str">
            <v>m'</v>
          </cell>
          <cell r="H1789" t="str">
            <v>X</v>
          </cell>
        </row>
        <row r="1790">
          <cell r="F1790" t="str">
            <v>Kabel NYFGBY 3 x 10 mm²</v>
          </cell>
          <cell r="G1790" t="str">
            <v>m'</v>
          </cell>
          <cell r="H1790" t="str">
            <v>X</v>
          </cell>
        </row>
        <row r="1791">
          <cell r="F1791" t="str">
            <v>Kabel NYFGBY 3 x 16 mm²</v>
          </cell>
          <cell r="G1791" t="str">
            <v>m'</v>
          </cell>
          <cell r="H1791" t="str">
            <v>X</v>
          </cell>
        </row>
        <row r="1792">
          <cell r="F1792" t="str">
            <v>Kabel NYFGBY 3 x 2,5 mm²</v>
          </cell>
          <cell r="G1792" t="str">
            <v>m'</v>
          </cell>
          <cell r="H1792" t="str">
            <v>X</v>
          </cell>
        </row>
        <row r="1793">
          <cell r="F1793" t="str">
            <v>Kabel NYFGBY 3 x 4 mm²</v>
          </cell>
          <cell r="G1793" t="str">
            <v>m'</v>
          </cell>
          <cell r="H1793" t="str">
            <v>X</v>
          </cell>
        </row>
        <row r="1794">
          <cell r="F1794" t="str">
            <v>Kabel NYFGBY 3 x 6 mm²</v>
          </cell>
          <cell r="G1794" t="str">
            <v>m'</v>
          </cell>
          <cell r="H1794" t="str">
            <v>X</v>
          </cell>
        </row>
        <row r="1795">
          <cell r="F1795" t="str">
            <v>Kabel NYFGBY 4 x 1,5 mm²</v>
          </cell>
          <cell r="G1795" t="str">
            <v>m'</v>
          </cell>
          <cell r="H1795" t="str">
            <v>X</v>
          </cell>
        </row>
        <row r="1796">
          <cell r="F1796" t="str">
            <v>Kabel NYFGBY 4 x 10 mm²</v>
          </cell>
          <cell r="G1796" t="str">
            <v>m'</v>
          </cell>
          <cell r="H1796" t="str">
            <v>X</v>
          </cell>
        </row>
        <row r="1797">
          <cell r="F1797" t="str">
            <v>Kabel NYFGBY 4 x 120 mm²</v>
          </cell>
          <cell r="G1797" t="str">
            <v>m'</v>
          </cell>
          <cell r="H1797" t="str">
            <v>X</v>
          </cell>
        </row>
        <row r="1798">
          <cell r="F1798" t="str">
            <v>Kabel NYFGBY 4 x 150 mm²</v>
          </cell>
          <cell r="G1798" t="str">
            <v>m'</v>
          </cell>
          <cell r="H1798" t="str">
            <v>X</v>
          </cell>
        </row>
        <row r="1799">
          <cell r="F1799" t="str">
            <v>Kabel NYFGBY 4 x 16 mm²</v>
          </cell>
          <cell r="G1799" t="str">
            <v>m'</v>
          </cell>
          <cell r="H1799">
            <v>278500</v>
          </cell>
        </row>
        <row r="1800">
          <cell r="F1800" t="str">
            <v>Kabel NYFGBY 4 x 185 mm²</v>
          </cell>
          <cell r="G1800" t="str">
            <v>m'</v>
          </cell>
          <cell r="H1800" t="str">
            <v>X</v>
          </cell>
        </row>
        <row r="1801">
          <cell r="F1801" t="str">
            <v>Kabel NYFGBY 4 x 2,5 mm²</v>
          </cell>
          <cell r="G1801" t="str">
            <v>m'</v>
          </cell>
          <cell r="H1801" t="str">
            <v>X</v>
          </cell>
        </row>
        <row r="1802">
          <cell r="F1802" t="str">
            <v>Kabel NYFGBY 4 x 240 mm²</v>
          </cell>
          <cell r="G1802" t="str">
            <v>m'</v>
          </cell>
          <cell r="H1802">
            <v>2861400</v>
          </cell>
        </row>
        <row r="1803">
          <cell r="F1803" t="str">
            <v>Kabel NYFGBY 4 x 25 mm²</v>
          </cell>
          <cell r="G1803" t="str">
            <v>m'</v>
          </cell>
          <cell r="H1803">
            <v>467200</v>
          </cell>
        </row>
        <row r="1804">
          <cell r="F1804" t="str">
            <v>Kabel NYFGBY 4 x 300 mm²</v>
          </cell>
          <cell r="G1804" t="str">
            <v>m'</v>
          </cell>
          <cell r="H1804">
            <v>3478600</v>
          </cell>
        </row>
        <row r="1805">
          <cell r="F1805" t="str">
            <v>Kabel NYFGBY 4 x 35 mm²</v>
          </cell>
          <cell r="G1805" t="str">
            <v>m'</v>
          </cell>
          <cell r="H1805" t="str">
            <v>X</v>
          </cell>
        </row>
        <row r="1806">
          <cell r="F1806" t="str">
            <v>Kabel NYFGBY 4 x 4 mm²</v>
          </cell>
          <cell r="G1806" t="str">
            <v>m'</v>
          </cell>
          <cell r="H1806" t="str">
            <v>X</v>
          </cell>
        </row>
        <row r="1807">
          <cell r="F1807" t="str">
            <v>Kabel NYFGBY 4 x 50 mm²</v>
          </cell>
          <cell r="G1807" t="str">
            <v>m'</v>
          </cell>
          <cell r="H1807">
            <v>753100</v>
          </cell>
        </row>
        <row r="1808">
          <cell r="F1808" t="str">
            <v>Kabel NYFGBY 4 x 6 mm²</v>
          </cell>
          <cell r="G1808" t="str">
            <v>m'</v>
          </cell>
          <cell r="H1808" t="str">
            <v>X</v>
          </cell>
        </row>
        <row r="1809">
          <cell r="F1809" t="str">
            <v>Kabel NYFGBY 4 x 70 mm²</v>
          </cell>
          <cell r="G1809" t="str">
            <v>m'</v>
          </cell>
          <cell r="H1809">
            <v>1077900</v>
          </cell>
        </row>
        <row r="1810">
          <cell r="F1810" t="str">
            <v>Kabel NYFGBY 4 x 95 mm²</v>
          </cell>
          <cell r="G1810" t="str">
            <v>m'</v>
          </cell>
          <cell r="H1810" t="str">
            <v>X</v>
          </cell>
        </row>
        <row r="1811">
          <cell r="F1811" t="str">
            <v>Kabel NYM 2 x 1,5 mm²</v>
          </cell>
          <cell r="G1811" t="str">
            <v>m'</v>
          </cell>
          <cell r="H1811">
            <v>17300</v>
          </cell>
        </row>
        <row r="1812">
          <cell r="F1812" t="str">
            <v>Kabel NYM 2 x 2,5 mm²</v>
          </cell>
          <cell r="G1812" t="str">
            <v>m'</v>
          </cell>
          <cell r="H1812">
            <v>20400</v>
          </cell>
        </row>
        <row r="1813">
          <cell r="F1813" t="str">
            <v>Kabel NYM 2 x 4 mm²</v>
          </cell>
          <cell r="G1813" t="str">
            <v>m'</v>
          </cell>
          <cell r="H1813">
            <v>29000</v>
          </cell>
        </row>
        <row r="1814">
          <cell r="F1814" t="str">
            <v>Kabel NYM 2 x 6 mm²</v>
          </cell>
          <cell r="G1814" t="str">
            <v>m'</v>
          </cell>
          <cell r="H1814">
            <v>63300</v>
          </cell>
        </row>
        <row r="1815">
          <cell r="F1815" t="str">
            <v>Kabel NYM 2 x 10 mm²</v>
          </cell>
          <cell r="G1815" t="str">
            <v>m'</v>
          </cell>
          <cell r="H1815">
            <v>85200</v>
          </cell>
        </row>
        <row r="1816">
          <cell r="F1816" t="str">
            <v>Kabel NYM 3 x 1,5 mm²</v>
          </cell>
          <cell r="G1816" t="str">
            <v>m'</v>
          </cell>
          <cell r="H1816" t="str">
            <v>X</v>
          </cell>
        </row>
        <row r="1817">
          <cell r="F1817" t="str">
            <v>Kabel NYM 3 x 2,5 mm²</v>
          </cell>
          <cell r="G1817" t="str">
            <v>m'</v>
          </cell>
          <cell r="H1817">
            <v>20600</v>
          </cell>
        </row>
        <row r="1818">
          <cell r="F1818" t="str">
            <v>Kabel NYM 3 x 2,5 mm2 (LSOH)</v>
          </cell>
          <cell r="G1818" t="str">
            <v>M'</v>
          </cell>
          <cell r="H1818">
            <v>20600</v>
          </cell>
        </row>
        <row r="1819">
          <cell r="F1819" t="str">
            <v>Kabel NYM 3 x 4 mm²</v>
          </cell>
          <cell r="G1819" t="str">
            <v>m'</v>
          </cell>
          <cell r="H1819">
            <v>36900</v>
          </cell>
        </row>
        <row r="1820">
          <cell r="F1820" t="str">
            <v>Kabel NYM 3 x 6 mm²</v>
          </cell>
          <cell r="G1820" t="str">
            <v>m'</v>
          </cell>
          <cell r="H1820">
            <v>80500</v>
          </cell>
        </row>
        <row r="1821">
          <cell r="F1821" t="str">
            <v>Kabel NYM 3 x 10 mm²</v>
          </cell>
          <cell r="G1821" t="str">
            <v>m'</v>
          </cell>
          <cell r="H1821">
            <v>83300</v>
          </cell>
        </row>
        <row r="1822">
          <cell r="F1822" t="str">
            <v>Kabel NYM 4 x 1,5 mm²</v>
          </cell>
          <cell r="G1822" t="str">
            <v>m'</v>
          </cell>
          <cell r="H1822" t="str">
            <v>X</v>
          </cell>
        </row>
        <row r="1823">
          <cell r="F1823" t="str">
            <v>Kabel NYM 4 x 2,5 mm²</v>
          </cell>
          <cell r="G1823" t="str">
            <v>m'</v>
          </cell>
          <cell r="H1823">
            <v>30900</v>
          </cell>
        </row>
        <row r="1824">
          <cell r="F1824" t="str">
            <v>Kabel NYM 4 x 4 mm²</v>
          </cell>
          <cell r="G1824" t="str">
            <v>m'</v>
          </cell>
          <cell r="H1824">
            <v>66300</v>
          </cell>
        </row>
        <row r="1825">
          <cell r="F1825" t="str">
            <v>Kabel NYM 4 x 6 mm²</v>
          </cell>
          <cell r="G1825" t="str">
            <v>m'</v>
          </cell>
          <cell r="H1825">
            <v>75400</v>
          </cell>
        </row>
        <row r="1826">
          <cell r="F1826" t="str">
            <v>Kabel NYM 4 x 10 mm²</v>
          </cell>
          <cell r="G1826" t="str">
            <v>m'</v>
          </cell>
          <cell r="H1826">
            <v>101100</v>
          </cell>
        </row>
        <row r="1827">
          <cell r="F1827" t="str">
            <v>Kabel NYM 4 x 16 mm²</v>
          </cell>
          <cell r="G1827" t="str">
            <v>m'</v>
          </cell>
          <cell r="H1827">
            <v>114900</v>
          </cell>
        </row>
        <row r="1828">
          <cell r="F1828" t="str">
            <v>Kabel NYMHY 2 x 1,5 mm²</v>
          </cell>
          <cell r="G1828" t="str">
            <v>m'</v>
          </cell>
          <cell r="H1828" t="str">
            <v>X</v>
          </cell>
        </row>
        <row r="1829">
          <cell r="F1829" t="str">
            <v>Kabel NYMHY 2 x 2,5 mm²</v>
          </cell>
          <cell r="G1829" t="str">
            <v>m'</v>
          </cell>
          <cell r="H1829" t="str">
            <v>X</v>
          </cell>
        </row>
        <row r="1830">
          <cell r="F1830" t="str">
            <v>Kabel NYMHY 3 x 1,5 mm²</v>
          </cell>
          <cell r="G1830" t="str">
            <v>m'</v>
          </cell>
          <cell r="H1830">
            <v>28100</v>
          </cell>
        </row>
        <row r="1831">
          <cell r="F1831" t="str">
            <v>Kabel NYMHY 2(3 x 1,5 mm2) + Conduit PVC HI 20 mm dan aksesoris</v>
          </cell>
          <cell r="G1831" t="str">
            <v>m'</v>
          </cell>
          <cell r="H1831">
            <v>28100</v>
          </cell>
        </row>
        <row r="1832">
          <cell r="F1832" t="str">
            <v>Kabel NYMHY 3 x 1,5 mm2 + Conduit PVC HI 20 mm dan aksesoris</v>
          </cell>
          <cell r="G1832" t="str">
            <v>m'</v>
          </cell>
          <cell r="H1832">
            <v>28100</v>
          </cell>
        </row>
        <row r="1833">
          <cell r="F1833" t="str">
            <v>Kabel NYMHY 3 x 2,5 mm²</v>
          </cell>
          <cell r="G1833" t="str">
            <v>m'</v>
          </cell>
          <cell r="H1833">
            <v>36100</v>
          </cell>
        </row>
        <row r="1834">
          <cell r="F1834" t="str">
            <v>Kabel NYMHY 4 x 2,5 mm²</v>
          </cell>
          <cell r="G1834" t="str">
            <v>m'</v>
          </cell>
          <cell r="H1834">
            <v>28700</v>
          </cell>
        </row>
        <row r="1835">
          <cell r="F1835" t="str">
            <v>Kabel NYY 1 x 10 mm²</v>
          </cell>
          <cell r="G1835" t="str">
            <v>m'</v>
          </cell>
          <cell r="H1835" t="str">
            <v>X</v>
          </cell>
        </row>
        <row r="1836">
          <cell r="F1836" t="str">
            <v>Kabel NYY 1 x 120 mm²</v>
          </cell>
          <cell r="G1836" t="str">
            <v>m'</v>
          </cell>
          <cell r="H1836" t="str">
            <v>X</v>
          </cell>
        </row>
        <row r="1837">
          <cell r="F1837" t="str">
            <v>Kabel NYY 1 x 150 mm²</v>
          </cell>
          <cell r="G1837" t="str">
            <v>m'</v>
          </cell>
          <cell r="H1837" t="str">
            <v>X</v>
          </cell>
        </row>
        <row r="1838">
          <cell r="F1838" t="str">
            <v>Kabel NYY 1 x 16 mm²</v>
          </cell>
          <cell r="G1838" t="str">
            <v>m'</v>
          </cell>
          <cell r="H1838" t="str">
            <v>X</v>
          </cell>
        </row>
        <row r="1839">
          <cell r="F1839" t="str">
            <v>Kabel NYY 1 x 185 mm²</v>
          </cell>
          <cell r="G1839" t="str">
            <v>m'</v>
          </cell>
          <cell r="H1839" t="str">
            <v>X</v>
          </cell>
        </row>
        <row r="1840">
          <cell r="F1840" t="str">
            <v>Kabel NYY 1 x 25 mm²</v>
          </cell>
          <cell r="G1840" t="str">
            <v>m'</v>
          </cell>
          <cell r="H1840" t="str">
            <v>X</v>
          </cell>
        </row>
        <row r="1841">
          <cell r="F1841" t="str">
            <v>Kabel NYY 1 x 250 mm²</v>
          </cell>
          <cell r="G1841" t="str">
            <v>m'</v>
          </cell>
          <cell r="H1841" t="str">
            <v>X</v>
          </cell>
        </row>
        <row r="1842">
          <cell r="F1842" t="str">
            <v>Kabel NYY 1 x 300 mm²</v>
          </cell>
          <cell r="G1842" t="str">
            <v>m'</v>
          </cell>
          <cell r="H1842" t="str">
            <v>X</v>
          </cell>
        </row>
        <row r="1843">
          <cell r="F1843" t="str">
            <v>Kabel NYY 1 x 35 mm²</v>
          </cell>
          <cell r="G1843" t="str">
            <v>m'</v>
          </cell>
          <cell r="H1843" t="str">
            <v>X</v>
          </cell>
        </row>
        <row r="1844">
          <cell r="F1844" t="str">
            <v>Kabel NYY 1 x 4 mm²</v>
          </cell>
          <cell r="G1844" t="str">
            <v>m'</v>
          </cell>
          <cell r="H1844" t="str">
            <v>X</v>
          </cell>
        </row>
        <row r="1845">
          <cell r="F1845" t="str">
            <v>Kabel NYY 1 x 400 mm²</v>
          </cell>
          <cell r="G1845" t="str">
            <v>m'</v>
          </cell>
          <cell r="H1845" t="str">
            <v>X</v>
          </cell>
        </row>
        <row r="1846">
          <cell r="F1846" t="str">
            <v>Kabel NYY 1 x 50 mm²</v>
          </cell>
          <cell r="G1846" t="str">
            <v>m'</v>
          </cell>
          <cell r="H1846" t="str">
            <v>X</v>
          </cell>
        </row>
        <row r="1847">
          <cell r="F1847" t="str">
            <v>Kabel NYY 1 x 500 mm²</v>
          </cell>
          <cell r="G1847" t="str">
            <v>m'</v>
          </cell>
          <cell r="H1847" t="str">
            <v>X</v>
          </cell>
        </row>
        <row r="1848">
          <cell r="F1848" t="str">
            <v>Kabel NYY 1 x 6 mm²</v>
          </cell>
          <cell r="G1848" t="str">
            <v>m'</v>
          </cell>
          <cell r="H1848" t="str">
            <v>X</v>
          </cell>
        </row>
        <row r="1849">
          <cell r="F1849" t="str">
            <v>Kabel NYY 1 x 630 mm²</v>
          </cell>
          <cell r="G1849" t="str">
            <v>m'</v>
          </cell>
          <cell r="H1849" t="str">
            <v>X</v>
          </cell>
        </row>
        <row r="1850">
          <cell r="F1850" t="str">
            <v>Kabel NYY 1 x 70 mm²</v>
          </cell>
          <cell r="G1850" t="str">
            <v>m'</v>
          </cell>
          <cell r="H1850" t="str">
            <v>X</v>
          </cell>
        </row>
        <row r="1851">
          <cell r="F1851" t="str">
            <v>Kabel NYY 1 x 95 mm²</v>
          </cell>
          <cell r="G1851" t="str">
            <v>m'</v>
          </cell>
          <cell r="H1851" t="str">
            <v>X</v>
          </cell>
        </row>
        <row r="1852">
          <cell r="F1852" t="str">
            <v>Kabel NYY 2 x 1,5 mm²</v>
          </cell>
          <cell r="G1852" t="str">
            <v>m'</v>
          </cell>
          <cell r="H1852" t="str">
            <v>X</v>
          </cell>
        </row>
        <row r="1853">
          <cell r="F1853" t="str">
            <v>Kabel NYY 2 x 10 mm²</v>
          </cell>
          <cell r="G1853" t="str">
            <v>m'</v>
          </cell>
          <cell r="H1853" t="str">
            <v>X</v>
          </cell>
        </row>
        <row r="1854">
          <cell r="F1854" t="str">
            <v>Kabel NYY 2 x 16 mm²</v>
          </cell>
          <cell r="G1854" t="str">
            <v>m'</v>
          </cell>
          <cell r="H1854" t="str">
            <v>X</v>
          </cell>
        </row>
        <row r="1855">
          <cell r="F1855" t="str">
            <v>Kabel NYY 2 x 2,5 mm²</v>
          </cell>
          <cell r="G1855" t="str">
            <v>m'</v>
          </cell>
          <cell r="H1855" t="str">
            <v>X</v>
          </cell>
        </row>
        <row r="1856">
          <cell r="F1856" t="str">
            <v>Kabel NYY 2 x 4 mm²</v>
          </cell>
          <cell r="G1856" t="str">
            <v>m'</v>
          </cell>
          <cell r="H1856" t="str">
            <v>X</v>
          </cell>
        </row>
        <row r="1857">
          <cell r="F1857" t="str">
            <v>Kabel NYY 2 x 6 mm²</v>
          </cell>
          <cell r="G1857" t="str">
            <v>m'</v>
          </cell>
          <cell r="H1857" t="str">
            <v>X</v>
          </cell>
        </row>
        <row r="1858">
          <cell r="F1858" t="str">
            <v>Kabel NYY 3 x 1,5 mm²</v>
          </cell>
          <cell r="G1858" t="str">
            <v>m'</v>
          </cell>
          <cell r="H1858" t="str">
            <v>X</v>
          </cell>
        </row>
        <row r="1859">
          <cell r="F1859" t="str">
            <v>Kabel NYY 3 x 10 mm²</v>
          </cell>
          <cell r="G1859" t="str">
            <v>m'</v>
          </cell>
          <cell r="H1859" t="str">
            <v>X</v>
          </cell>
        </row>
        <row r="1860">
          <cell r="F1860" t="str">
            <v>Kabel NYY 3 x 16 mm²</v>
          </cell>
          <cell r="G1860" t="str">
            <v>m'</v>
          </cell>
          <cell r="H1860" t="str">
            <v>X</v>
          </cell>
        </row>
        <row r="1861">
          <cell r="F1861" t="str">
            <v>Kabel NYY 3 x 2,5 mm²</v>
          </cell>
          <cell r="G1861" t="str">
            <v>m'</v>
          </cell>
          <cell r="H1861" t="str">
            <v>X</v>
          </cell>
        </row>
        <row r="1862">
          <cell r="F1862" t="str">
            <v>Kabel NYY 3 x 25 mm²</v>
          </cell>
          <cell r="G1862" t="str">
            <v>m'</v>
          </cell>
          <cell r="H1862" t="str">
            <v>X</v>
          </cell>
        </row>
        <row r="1863">
          <cell r="F1863" t="str">
            <v>Kabel NYY 3 x 35 mm²</v>
          </cell>
          <cell r="G1863" t="str">
            <v>m'</v>
          </cell>
          <cell r="H1863" t="str">
            <v>X</v>
          </cell>
        </row>
        <row r="1864">
          <cell r="F1864" t="str">
            <v>Kabel NYY 3 x 4 mm²</v>
          </cell>
          <cell r="G1864" t="str">
            <v>m'</v>
          </cell>
          <cell r="H1864" t="str">
            <v>X</v>
          </cell>
        </row>
        <row r="1865">
          <cell r="F1865" t="str">
            <v>Kabel NYY 3 x 50 mm²</v>
          </cell>
          <cell r="G1865" t="str">
            <v>m'</v>
          </cell>
          <cell r="H1865" t="str">
            <v>X</v>
          </cell>
        </row>
        <row r="1866">
          <cell r="F1866" t="str">
            <v>Kabel NYY 3 x 6 mm²</v>
          </cell>
          <cell r="G1866" t="str">
            <v>m'</v>
          </cell>
          <cell r="H1866" t="str">
            <v>X</v>
          </cell>
        </row>
        <row r="1867">
          <cell r="F1867" t="str">
            <v>Kabel NYY 4 x 1,5 mm²</v>
          </cell>
          <cell r="G1867" t="str">
            <v>m'</v>
          </cell>
          <cell r="H1867" t="str">
            <v>X</v>
          </cell>
        </row>
        <row r="1868">
          <cell r="F1868" t="str">
            <v>Kabel NYY 4 x 10 mm²</v>
          </cell>
          <cell r="G1868" t="str">
            <v>m'</v>
          </cell>
          <cell r="H1868">
            <v>155000</v>
          </cell>
        </row>
        <row r="1869">
          <cell r="F1869" t="str">
            <v>Kabel NYY 4 x 120 mm²</v>
          </cell>
          <cell r="G1869" t="str">
            <v>m'</v>
          </cell>
          <cell r="H1869" t="str">
            <v>X</v>
          </cell>
        </row>
        <row r="1870">
          <cell r="F1870" t="str">
            <v>Kabel NYY 4 x 150 mm²</v>
          </cell>
          <cell r="G1870" t="str">
            <v>m'</v>
          </cell>
          <cell r="H1870" t="str">
            <v>X</v>
          </cell>
        </row>
        <row r="1871">
          <cell r="F1871" t="str">
            <v>Kabel NYY 4 x 16 mm²</v>
          </cell>
          <cell r="G1871" t="str">
            <v>m'</v>
          </cell>
          <cell r="H1871">
            <v>256800</v>
          </cell>
        </row>
        <row r="1872">
          <cell r="F1872" t="str">
            <v>Kabel NYY 4 x 185 mm²</v>
          </cell>
          <cell r="G1872" t="str">
            <v>m'</v>
          </cell>
          <cell r="H1872" t="str">
            <v>X</v>
          </cell>
        </row>
        <row r="1873">
          <cell r="F1873" t="str">
            <v>Kabel NYY 4 x 2,5 mm²</v>
          </cell>
          <cell r="G1873" t="str">
            <v>m'</v>
          </cell>
          <cell r="H1873" t="str">
            <v>X</v>
          </cell>
        </row>
        <row r="1874">
          <cell r="F1874" t="str">
            <v>Kabel NYY 4 x 240 mm²</v>
          </cell>
          <cell r="G1874" t="str">
            <v>m'</v>
          </cell>
          <cell r="H1874">
            <v>2121900</v>
          </cell>
        </row>
        <row r="1875">
          <cell r="F1875" t="str">
            <v>Kabel NYY 4 x 25 mm²</v>
          </cell>
          <cell r="G1875" t="str">
            <v>m'</v>
          </cell>
          <cell r="H1875">
            <v>399700</v>
          </cell>
        </row>
        <row r="1876">
          <cell r="F1876" t="str">
            <v>Kabel NYY 4 x 300 mm²</v>
          </cell>
          <cell r="G1876" t="str">
            <v>m'</v>
          </cell>
          <cell r="H1876">
            <v>2672300</v>
          </cell>
        </row>
        <row r="1877">
          <cell r="F1877" t="str">
            <v>Kabel NYY 4 x 35 mm²</v>
          </cell>
          <cell r="G1877" t="str">
            <v>m'</v>
          </cell>
          <cell r="H1877">
            <v>550700</v>
          </cell>
        </row>
        <row r="1878">
          <cell r="F1878" t="str">
            <v>Kabel NYY 4 x 4 mm²</v>
          </cell>
          <cell r="G1878" t="str">
            <v>m'</v>
          </cell>
          <cell r="H1878">
            <v>77100</v>
          </cell>
        </row>
        <row r="1879">
          <cell r="F1879" t="str">
            <v>Kabel NYY 4 x 50 mm²</v>
          </cell>
          <cell r="G1879" t="str">
            <v>m'</v>
          </cell>
          <cell r="H1879">
            <v>600100</v>
          </cell>
        </row>
        <row r="1880">
          <cell r="F1880" t="str">
            <v>Kabel NYY 4 x 6 mm²</v>
          </cell>
          <cell r="G1880" t="str">
            <v>m'</v>
          </cell>
          <cell r="H1880">
            <v>82100</v>
          </cell>
        </row>
        <row r="1881">
          <cell r="F1881" t="str">
            <v>Kabel NYY 4 x 70 mm²</v>
          </cell>
          <cell r="G1881" t="str">
            <v>m'</v>
          </cell>
          <cell r="H1881" t="str">
            <v>X</v>
          </cell>
        </row>
        <row r="1882">
          <cell r="F1882" t="str">
            <v>Kabel NYY 4 x 95 mm²</v>
          </cell>
          <cell r="G1882" t="str">
            <v>m'</v>
          </cell>
          <cell r="H1882" t="str">
            <v>X</v>
          </cell>
        </row>
        <row r="1883">
          <cell r="F1883" t="str">
            <v xml:space="preserve">Kabel STP AWG 18 </v>
          </cell>
          <cell r="G1883" t="str">
            <v>m'</v>
          </cell>
          <cell r="H1883" t="str">
            <v>X</v>
          </cell>
        </row>
        <row r="1884">
          <cell r="F1884" t="str">
            <v>Kabel STP AWG 18 + PVC Conduit HI 20 mm (dari MCFA ke TB) dan aksesoris</v>
          </cell>
          <cell r="H1884" t="str">
            <v>X</v>
          </cell>
        </row>
        <row r="1885">
          <cell r="F1885" t="str">
            <v>Kabel ITC 2x2x0,6 mm2</v>
          </cell>
          <cell r="G1885" t="str">
            <v>m'</v>
          </cell>
          <cell r="H1885" t="str">
            <v>X</v>
          </cell>
        </row>
        <row r="1886">
          <cell r="F1886" t="str">
            <v>Kabel ITC 2 x 2 x 0,6 mm2 + PVC Conduit HI 20 mm dan aksesoris</v>
          </cell>
          <cell r="G1886" t="str">
            <v>m'</v>
          </cell>
          <cell r="H1886" t="str">
            <v>X</v>
          </cell>
        </row>
        <row r="1887">
          <cell r="F1887" t="str">
            <v>Kabel UTP CAT 6</v>
          </cell>
          <cell r="G1887" t="str">
            <v>m'</v>
          </cell>
          <cell r="H1887" t="str">
            <v>X</v>
          </cell>
        </row>
        <row r="1888">
          <cell r="F1888" t="str">
            <v xml:space="preserve">Kabel Coaxial 7C-2V </v>
          </cell>
          <cell r="G1888" t="str">
            <v>m'</v>
          </cell>
          <cell r="H1888" t="str">
            <v>X</v>
          </cell>
        </row>
        <row r="1889">
          <cell r="F1889" t="str">
            <v xml:space="preserve">Kabel Ladder 500 x100 mm </v>
          </cell>
          <cell r="G1889" t="str">
            <v xml:space="preserve">unit </v>
          </cell>
          <cell r="H1889" t="str">
            <v>X</v>
          </cell>
        </row>
        <row r="1890">
          <cell r="F1890" t="str">
            <v xml:space="preserve">Kabel Ladder 600 x100 mm </v>
          </cell>
          <cell r="G1890" t="str">
            <v xml:space="preserve">Unit </v>
          </cell>
          <cell r="H1890" t="str">
            <v>X</v>
          </cell>
        </row>
        <row r="1891">
          <cell r="F1891" t="str">
            <v xml:space="preserve">Kabel Ladder 800 x100 mm </v>
          </cell>
          <cell r="G1891" t="str">
            <v xml:space="preserve">Unit </v>
          </cell>
          <cell r="H1891" t="str">
            <v>X</v>
          </cell>
        </row>
        <row r="1892">
          <cell r="F1892" t="str">
            <v xml:space="preserve">Kabel Tray 600 x 100 mm Hotdip Galvanized </v>
          </cell>
          <cell r="G1892" t="str">
            <v xml:space="preserve">Unit </v>
          </cell>
          <cell r="H1892" t="str">
            <v>X</v>
          </cell>
        </row>
        <row r="1893">
          <cell r="F1893" t="str">
            <v xml:space="preserve">Kabel Tray 600 x100 mm Elektro Galvanized </v>
          </cell>
          <cell r="G1893" t="str">
            <v>Unit</v>
          </cell>
          <cell r="H1893" t="str">
            <v>X</v>
          </cell>
        </row>
        <row r="1894">
          <cell r="F1894" t="str">
            <v xml:space="preserve">Kabel Tray 600 x 100 mm Powder Coating </v>
          </cell>
          <cell r="G1894" t="str">
            <v xml:space="preserve">Unit </v>
          </cell>
          <cell r="H1894" t="str">
            <v>X</v>
          </cell>
        </row>
        <row r="1895">
          <cell r="F1895" t="str">
            <v>Kabel Tray (Horizontal) 1000 x 100 mm TRU Powder Coating dan aksesoris</v>
          </cell>
          <cell r="G1895" t="str">
            <v>Unit</v>
          </cell>
          <cell r="H1895" t="str">
            <v>X</v>
          </cell>
        </row>
        <row r="1896">
          <cell r="F1896" t="str">
            <v>Kabel Tray (Horizontal) 1000 x 100 mm TRU Hot Dip Galvanized dan aksesoris</v>
          </cell>
          <cell r="G1896" t="str">
            <v>unit</v>
          </cell>
          <cell r="H1896" t="str">
            <v>X</v>
          </cell>
        </row>
        <row r="1897">
          <cell r="F1897" t="str">
            <v>Kabel Tray (Horizontal) 1000 x 100 mm TRU OCP dan aksesoris</v>
          </cell>
          <cell r="G1897" t="str">
            <v>Unit</v>
          </cell>
          <cell r="H1897" t="str">
            <v>X</v>
          </cell>
        </row>
        <row r="1898">
          <cell r="F1898" t="str">
            <v>Kabel Tray (Horizontal) 1000 x 100 mm TRC Powder Coating dan aksesoris</v>
          </cell>
          <cell r="G1898" t="str">
            <v xml:space="preserve">Unit </v>
          </cell>
          <cell r="H1898" t="str">
            <v>X</v>
          </cell>
        </row>
        <row r="1899">
          <cell r="F1899" t="str">
            <v>Kabel Tray (Horizontal) 1000 x 100 mm TRC Hot Dip Galvanized dan aksesoris</v>
          </cell>
          <cell r="G1899" t="str">
            <v xml:space="preserve">Unit </v>
          </cell>
          <cell r="H1899" t="str">
            <v>X</v>
          </cell>
        </row>
        <row r="1900">
          <cell r="F1900" t="str">
            <v>Kabel Tray (Horizontal) 1000 x 100 mm TRC OCP dan aksesoris</v>
          </cell>
          <cell r="G1900" t="str">
            <v xml:space="preserve">Unit </v>
          </cell>
          <cell r="H1900" t="str">
            <v>X</v>
          </cell>
        </row>
        <row r="1901">
          <cell r="F1901" t="str">
            <v>Kabel Tray (Horizontal) 900 x 100 mm TRU Powder Coating dan aksesoris</v>
          </cell>
          <cell r="G1901" t="str">
            <v xml:space="preserve">Unit </v>
          </cell>
          <cell r="H1901" t="str">
            <v>X</v>
          </cell>
        </row>
        <row r="1902">
          <cell r="F1902" t="str">
            <v>Kabel Tray
(Horizontal) 900 x
100 mm TRU Hot Dip
Galvanized dan
aksesoris</v>
          </cell>
          <cell r="G1902" t="str">
            <v>Unit</v>
          </cell>
          <cell r="H1902" t="str">
            <v>X</v>
          </cell>
        </row>
        <row r="1903">
          <cell r="F1903" t="str">
            <v>Kabel Tray
(Horizontal) 900 x
100 mm TRU OCP
dan aksesoris</v>
          </cell>
          <cell r="G1903" t="str">
            <v>Unit</v>
          </cell>
          <cell r="H1903" t="str">
            <v>X</v>
          </cell>
        </row>
        <row r="1904">
          <cell r="F1904" t="str">
            <v>Kabel Tray (Horizontal) 900 x 100 mm TRC Powder Coating dan aksesoris</v>
          </cell>
          <cell r="G1904" t="str">
            <v xml:space="preserve">unit </v>
          </cell>
          <cell r="H1904" t="str">
            <v>X</v>
          </cell>
        </row>
        <row r="1905">
          <cell r="F1905" t="str">
            <v>Kabel Tray (Horizontal) 900 x 100 mm TRC Hot Dip Galvanized dan aksesoris</v>
          </cell>
          <cell r="G1905" t="str">
            <v>Unit</v>
          </cell>
          <cell r="H1905" t="str">
            <v>X</v>
          </cell>
        </row>
        <row r="1906">
          <cell r="F1906" t="str">
            <v>Kabel Tray
(Horizontal) 900 x
100 mm TRC OCP
dan aksesoris</v>
          </cell>
          <cell r="G1906" t="str">
            <v>Unit</v>
          </cell>
          <cell r="H1906" t="str">
            <v>X</v>
          </cell>
        </row>
        <row r="1907">
          <cell r="F1907" t="str">
            <v>Kabel Tray
(Horizontal) 800 x
100 mm TRU Powder
Coating dan aksesoris</v>
          </cell>
          <cell r="G1907" t="str">
            <v>Unit</v>
          </cell>
          <cell r="H1907" t="str">
            <v>X</v>
          </cell>
        </row>
        <row r="1908">
          <cell r="F1908" t="str">
            <v>Kabel Tray
(Horizontal) 800 x
100 mm TRU Hot Dip
Galvanized dan
aksesoris</v>
          </cell>
          <cell r="G1908" t="str">
            <v xml:space="preserve">unit </v>
          </cell>
          <cell r="H1908" t="str">
            <v>X</v>
          </cell>
        </row>
        <row r="1909">
          <cell r="F1909" t="str">
            <v>Kabel Tray
(Horizontal) 800 x
100 mm TRU OCP
dan aksesoris</v>
          </cell>
          <cell r="G1909" t="str">
            <v>Unit</v>
          </cell>
          <cell r="H1909" t="str">
            <v>X</v>
          </cell>
        </row>
        <row r="1910">
          <cell r="F1910" t="str">
            <v>Kabel Tray
(Horizontal) 800 x
100 mm TRC Powder
Coating dan aksesoris</v>
          </cell>
          <cell r="G1910" t="str">
            <v>Unit</v>
          </cell>
          <cell r="H1910" t="str">
            <v>X</v>
          </cell>
        </row>
        <row r="1911">
          <cell r="F1911" t="str">
            <v>Kabel Tray
(Horizontal) 800 x
100 mm TRC Hot Dip
Galvanized dan
aksesoris</v>
          </cell>
          <cell r="G1911" t="str">
            <v>Unit</v>
          </cell>
          <cell r="H1911" t="str">
            <v>X</v>
          </cell>
        </row>
        <row r="1912">
          <cell r="F1912" t="str">
            <v>Kabel Tray (Horizontal) 800 x 100 mm TRC OCP dan aksesoris</v>
          </cell>
          <cell r="G1912" t="str">
            <v xml:space="preserve">unit </v>
          </cell>
          <cell r="H1912" t="str">
            <v>X</v>
          </cell>
        </row>
        <row r="1913">
          <cell r="F1913" t="str">
            <v>Kabel Tray (Horizontal) 700 x 100 mm TRU Powder Coating dan aksesoris</v>
          </cell>
          <cell r="G1913" t="str">
            <v>Unit</v>
          </cell>
          <cell r="H1913" t="str">
            <v>X</v>
          </cell>
        </row>
        <row r="1914">
          <cell r="F1914" t="str">
            <v>Kabel Tray (Horizontal) 700 x 100 mm TRU Hot Dip Galvanized dan aksesoris</v>
          </cell>
          <cell r="G1914" t="str">
            <v>Unit</v>
          </cell>
          <cell r="H1914" t="str">
            <v>X</v>
          </cell>
        </row>
        <row r="1915">
          <cell r="F1915" t="str">
            <v>Kabel Tray (Horizontal) 700 x 100 mm TRU OCP dan aksesoris</v>
          </cell>
          <cell r="G1915" t="str">
            <v>Unit</v>
          </cell>
          <cell r="H1915" t="str">
            <v>X</v>
          </cell>
        </row>
        <row r="1916">
          <cell r="F1916" t="str">
            <v>Kabel Tray (Horizontal) 700 x 100 mm TRC Powder Coating dan aksesoris</v>
          </cell>
          <cell r="G1916" t="str">
            <v xml:space="preserve">unit </v>
          </cell>
          <cell r="H1916" t="str">
            <v>X</v>
          </cell>
        </row>
        <row r="1917">
          <cell r="F1917" t="str">
            <v>Kabel Tray (Horizontal) 700 x 100 mm TRC Hot Dip Galvanized dan aksesoris</v>
          </cell>
          <cell r="G1917" t="str">
            <v>Unit</v>
          </cell>
          <cell r="H1917" t="str">
            <v>X</v>
          </cell>
        </row>
        <row r="1918">
          <cell r="F1918" t="str">
            <v>Kabel Tray (Horizontal) 700 x 100 mm TRC</v>
          </cell>
          <cell r="G1918" t="str">
            <v>Unit</v>
          </cell>
          <cell r="H1918" t="str">
            <v>X</v>
          </cell>
        </row>
        <row r="1919">
          <cell r="F1919" t="str">
            <v>Kabel Tray (Horizontal) 600 x 100 mm TRU Hot Dip Galvanized dan aksesoris</v>
          </cell>
          <cell r="G1919" t="str">
            <v>Unit</v>
          </cell>
          <cell r="H1919" t="str">
            <v>X</v>
          </cell>
        </row>
        <row r="1920">
          <cell r="F1920" t="str">
            <v>(Horizontal) 600 x 100 mm TRC Hot Dip Galvanized dan aksesoris</v>
          </cell>
          <cell r="G1920" t="str">
            <v xml:space="preserve">Unit </v>
          </cell>
          <cell r="H1920" t="str">
            <v>X</v>
          </cell>
        </row>
        <row r="1921">
          <cell r="F1921" t="str">
            <v>Pemasangan 1 Unit Kabel Tray (Horizontal) 600 x 100 mm TRC OCP</v>
          </cell>
          <cell r="G1921" t="str">
            <v>Unit</v>
          </cell>
          <cell r="H1921" t="str">
            <v>X</v>
          </cell>
        </row>
        <row r="1922">
          <cell r="F1922" t="str">
            <v>Kabel Tray (Horizontal) 500 x 100 mm TRU Hot Dip Galvanized dan aksesoris</v>
          </cell>
          <cell r="G1922" t="str">
            <v xml:space="preserve">Unit </v>
          </cell>
          <cell r="H1922" t="str">
            <v>X</v>
          </cell>
        </row>
        <row r="1923">
          <cell r="F1923" t="str">
            <v>Kabel Tray (Horizontal) 500 x 100 mm TRU OCP dan aksesoris</v>
          </cell>
          <cell r="G1923" t="str">
            <v>Unit</v>
          </cell>
          <cell r="H1923" t="str">
            <v>X</v>
          </cell>
        </row>
        <row r="1924">
          <cell r="F1924" t="str">
            <v>Kabel Tray (Horizontal) 500 x 100 mm TRC Powder Coating dan aksesoris</v>
          </cell>
          <cell r="G1924" t="str">
            <v xml:space="preserve">Unit </v>
          </cell>
          <cell r="H1924" t="str">
            <v>X</v>
          </cell>
        </row>
        <row r="1925">
          <cell r="F1925" t="str">
            <v>Kabel Tray (Horizontal) 500 x 100 mm TRC Hot Dip Galvanized dan aksesoris</v>
          </cell>
          <cell r="G1925" t="str">
            <v>Unit</v>
          </cell>
          <cell r="H1925" t="str">
            <v>X</v>
          </cell>
        </row>
        <row r="1926">
          <cell r="F1926" t="str">
            <v>Kabel Tray (Horizontal) 500 x 100 mm TRC OCP dan aksesoris</v>
          </cell>
          <cell r="G1926" t="str">
            <v xml:space="preserve">Unit </v>
          </cell>
          <cell r="H1926" t="str">
            <v>X</v>
          </cell>
        </row>
        <row r="1927">
          <cell r="F1927" t="str">
            <v>Kabel Tray (Horizontal) 400 x 100 mm TRU Hot Dip Galvanized dan aksesoris</v>
          </cell>
          <cell r="G1927" t="str">
            <v>Unit</v>
          </cell>
          <cell r="H1927" t="str">
            <v>X</v>
          </cell>
        </row>
        <row r="1928">
          <cell r="F1928" t="str">
            <v>Kabel Tray (Horizontal) 400 x 100 mm TRU OCP dan aksesoris</v>
          </cell>
          <cell r="G1928" t="str">
            <v xml:space="preserve">Unit </v>
          </cell>
          <cell r="H1928" t="str">
            <v>X</v>
          </cell>
        </row>
        <row r="1929">
          <cell r="F1929" t="str">
            <v>Kabel Tray (Horizontal) 400 x 100 mm TRC Powder Coating dan aksesoris</v>
          </cell>
          <cell r="G1929" t="str">
            <v>Unit</v>
          </cell>
          <cell r="H1929" t="str">
            <v>X</v>
          </cell>
        </row>
        <row r="1930">
          <cell r="F1930" t="str">
            <v>Kabel Tray (Horizontal) 400 x 100 mm TRC Hot Dip Galvanized dan aksesoris</v>
          </cell>
          <cell r="G1930" t="str">
            <v xml:space="preserve">Unit </v>
          </cell>
          <cell r="H1930" t="str">
            <v>X</v>
          </cell>
        </row>
        <row r="1931">
          <cell r="F1931" t="str">
            <v>Kabel Tray (Horizontal) 400 x 100 mm TRC OCP dan aksesoris</v>
          </cell>
          <cell r="G1931" t="str">
            <v>Unit</v>
          </cell>
          <cell r="H1931" t="str">
            <v>X</v>
          </cell>
        </row>
        <row r="1932">
          <cell r="F1932" t="str">
            <v>Kabel Tray (Horizontal) 300 x 100 mm TRU Hot Dip Galvanized dan aksesoris</v>
          </cell>
          <cell r="G1932" t="str">
            <v xml:space="preserve">Unit </v>
          </cell>
          <cell r="H1932" t="str">
            <v>X</v>
          </cell>
        </row>
        <row r="1933">
          <cell r="F1933" t="str">
            <v>Kabel Tray (Horizontal) 300 x 100 mm TRU OCP dan aksesoris</v>
          </cell>
          <cell r="G1933" t="str">
            <v>Unit</v>
          </cell>
          <cell r="H1933" t="str">
            <v>X</v>
          </cell>
        </row>
        <row r="1934">
          <cell r="F1934" t="str">
            <v>Kabel Tray (Horizontal) 300 x 100 mm TRC Powder Coating dan aksesoris</v>
          </cell>
          <cell r="G1934" t="str">
            <v xml:space="preserve">Unit </v>
          </cell>
          <cell r="H1934" t="str">
            <v>X</v>
          </cell>
        </row>
        <row r="1935">
          <cell r="F1935" t="str">
            <v>Kabel Tray (Horizontal) 300 x 100 mm TRC Hot Dip Galvanized dan aksesoris</v>
          </cell>
          <cell r="G1935" t="str">
            <v>Unit</v>
          </cell>
          <cell r="H1935" t="str">
            <v>X</v>
          </cell>
        </row>
        <row r="1936">
          <cell r="F1936" t="str">
            <v>Kabel Tray (Horizontal) 300 x 100 mm TRC OCP dan aksesoris</v>
          </cell>
          <cell r="G1936" t="str">
            <v xml:space="preserve">Unit </v>
          </cell>
          <cell r="H1936" t="str">
            <v>X</v>
          </cell>
        </row>
        <row r="1937">
          <cell r="F1937" t="str">
            <v>Kabel Tray (Horizontal) 200 x 100 mm TRU Hot Dip Galvanized dan aksesoris</v>
          </cell>
          <cell r="G1937" t="str">
            <v>Unit</v>
          </cell>
          <cell r="H1937" t="str">
            <v>X</v>
          </cell>
        </row>
        <row r="1938">
          <cell r="F1938" t="str">
            <v>Kabel Tray (Horizontal) 200 x 100 mm TRU OCP dan aksesoris</v>
          </cell>
          <cell r="G1938" t="str">
            <v xml:space="preserve">Unit </v>
          </cell>
          <cell r="H1938" t="str">
            <v>X</v>
          </cell>
        </row>
        <row r="1939">
          <cell r="F1939" t="str">
            <v>Kabel Tray (Horizontal) 200 x 100 mm TRC Powder Coating dan aksesoris</v>
          </cell>
          <cell r="G1939" t="str">
            <v>Unit</v>
          </cell>
          <cell r="H1939" t="str">
            <v>X</v>
          </cell>
        </row>
        <row r="1940">
          <cell r="F1940" t="str">
            <v>Kabel Tray (Horizontal) 200 x 100 mm TRC Hot Dip Galvanized dan aksesoris</v>
          </cell>
          <cell r="G1940" t="str">
            <v xml:space="preserve">Unit </v>
          </cell>
          <cell r="H1940" t="str">
            <v>X</v>
          </cell>
        </row>
        <row r="1941">
          <cell r="F1941" t="str">
            <v>Kabel Tray (Horizontal) 200 x 100 mm TRC OCP dan aksesoris</v>
          </cell>
          <cell r="G1941" t="str">
            <v>Unit</v>
          </cell>
          <cell r="H1941" t="str">
            <v>X</v>
          </cell>
        </row>
        <row r="1942">
          <cell r="F1942" t="str">
            <v>Kabel Tray (Horizontal) 150 x 100 mm TRU Powder Coating dan aksesoris</v>
          </cell>
          <cell r="G1942" t="str">
            <v xml:space="preserve">Unit </v>
          </cell>
          <cell r="H1942" t="str">
            <v>X</v>
          </cell>
        </row>
        <row r="1943">
          <cell r="F1943" t="str">
            <v>Kabel Tray (Horizontal) 150 x 100 mm TRU Hot Dip Galvanized dan aksesoris</v>
          </cell>
          <cell r="G1943" t="str">
            <v>Unit</v>
          </cell>
          <cell r="H1943" t="str">
            <v>X</v>
          </cell>
        </row>
        <row r="1944">
          <cell r="F1944" t="str">
            <v>Kabel Tray (Horizontal) 150 x 100 mm TRU OCP dan aksesoris</v>
          </cell>
          <cell r="G1944" t="str">
            <v xml:space="preserve">Unit </v>
          </cell>
          <cell r="H1944" t="str">
            <v>X</v>
          </cell>
        </row>
        <row r="1945">
          <cell r="F1945" t="str">
            <v>Kabel Tray (Horizontal) 150 x 100 mm TRC Powder Coating dan aksesoris</v>
          </cell>
          <cell r="G1945" t="str">
            <v>Unit</v>
          </cell>
          <cell r="H1945" t="str">
            <v>X</v>
          </cell>
        </row>
        <row r="1946">
          <cell r="F1946" t="str">
            <v>Kabel Tray (Horizontal) 150 x 100 mm TRC Hot Dip Galvanized dan aksesoris</v>
          </cell>
          <cell r="G1946" t="str">
            <v xml:space="preserve">Unit </v>
          </cell>
          <cell r="H1946" t="str">
            <v>X</v>
          </cell>
        </row>
        <row r="1947">
          <cell r="F1947" t="str">
            <v>Kabel Tray (Horizontal) 150 x 100 mm TRC OCP dan aksesoris</v>
          </cell>
          <cell r="G1947" t="str">
            <v>Unit</v>
          </cell>
          <cell r="H1947" t="str">
            <v>X</v>
          </cell>
        </row>
        <row r="1948">
          <cell r="F1948" t="str">
            <v>Kabel Tray (Vertikal) 1000 x 100 mm TRU Powder Coating dan aksesoris</v>
          </cell>
          <cell r="G1948" t="str">
            <v xml:space="preserve">Unit </v>
          </cell>
          <cell r="H1948" t="str">
            <v>X</v>
          </cell>
        </row>
        <row r="1949">
          <cell r="F1949" t="str">
            <v>Kabel Tray (Vertikal) 1000 x 100 mm TRU Hot Dip Galvanized dan aksesoris</v>
          </cell>
          <cell r="G1949" t="str">
            <v>Unit</v>
          </cell>
          <cell r="H1949" t="str">
            <v>X</v>
          </cell>
        </row>
        <row r="1950">
          <cell r="F1950" t="str">
            <v>Kabel Tray (Vertikal) 1000 x 100 mm TRU OCP dan aksesoris</v>
          </cell>
          <cell r="G1950" t="str">
            <v xml:space="preserve">Unit </v>
          </cell>
          <cell r="H1950" t="str">
            <v>X</v>
          </cell>
        </row>
        <row r="1951">
          <cell r="F1951" t="str">
            <v>Kabel Tray (Vertikal) 1000 x 100 mm TRC Powder Coating dan aksesoris</v>
          </cell>
          <cell r="G1951" t="str">
            <v>Unit</v>
          </cell>
          <cell r="H1951" t="str">
            <v>X</v>
          </cell>
        </row>
        <row r="1952">
          <cell r="F1952" t="str">
            <v>Kabel Tray (Vertikal) 1000 x 100 mm TRC Hot Dip Galvanized dan aksesoris</v>
          </cell>
          <cell r="G1952" t="str">
            <v xml:space="preserve">Unit </v>
          </cell>
          <cell r="H1952" t="str">
            <v>X</v>
          </cell>
        </row>
        <row r="1953">
          <cell r="F1953" t="str">
            <v>Kabel Tray (Vertikal) 1000 x 100 mm TRC OCP dan aksesoris</v>
          </cell>
          <cell r="G1953" t="str">
            <v>Unit</v>
          </cell>
          <cell r="H1953" t="str">
            <v>X</v>
          </cell>
        </row>
        <row r="1954">
          <cell r="F1954" t="str">
            <v>Kabel Tray (Vertikal) 900 x 100 mm TRU Powder Coating dan aksesoris</v>
          </cell>
          <cell r="G1954" t="str">
            <v>Unit</v>
          </cell>
          <cell r="H1954" t="str">
            <v>X</v>
          </cell>
        </row>
        <row r="1955">
          <cell r="F1955" t="str">
            <v>Kabel Tray (Vertikal) 900 x 100 mm TRU Hot Dip Galvanized dan aksesoris</v>
          </cell>
          <cell r="G1955" t="str">
            <v xml:space="preserve">Unit </v>
          </cell>
          <cell r="H1955" t="str">
            <v>X</v>
          </cell>
        </row>
        <row r="1956">
          <cell r="F1956" t="str">
            <v>Kabel Tray (Vertikal) 900 x 100 mm TRU OCP dan aksesoris</v>
          </cell>
          <cell r="G1956" t="str">
            <v>Unit</v>
          </cell>
          <cell r="H1956" t="str">
            <v>X</v>
          </cell>
        </row>
        <row r="1957">
          <cell r="F1957" t="str">
            <v>Kabel Tray (Vertikal) 900 x 100 mm TRC Powder Coating dan aksesoris</v>
          </cell>
          <cell r="G1957" t="str">
            <v>Unit</v>
          </cell>
          <cell r="H1957" t="str">
            <v>X</v>
          </cell>
        </row>
        <row r="1958">
          <cell r="F1958" t="str">
            <v>Kabel Tray (Vertikal) 900 x 100 mm TRC Hot Dip Galvanized dan aksesoris</v>
          </cell>
          <cell r="G1958" t="str">
            <v xml:space="preserve">Unit </v>
          </cell>
          <cell r="H1958" t="str">
            <v>X</v>
          </cell>
        </row>
        <row r="1959">
          <cell r="F1959" t="str">
            <v>Kabel Tray (Vertikal) 900 x 100 mm TRC OCP dan aksesoris</v>
          </cell>
          <cell r="G1959" t="str">
            <v>Unit</v>
          </cell>
          <cell r="H1959" t="str">
            <v>X</v>
          </cell>
        </row>
        <row r="1960">
          <cell r="F1960" t="str">
            <v>Kabel Tray (Vertikal) 800 x 100 mm TRU Powder Coating dan aksesoris</v>
          </cell>
          <cell r="G1960" t="str">
            <v>Unit</v>
          </cell>
          <cell r="H1960" t="str">
            <v>X</v>
          </cell>
        </row>
        <row r="1961">
          <cell r="F1961" t="str">
            <v>Kabel Tray (Vertikal) 800 x 100 mm TRU Hot Dip Galvanized dan aksesoris</v>
          </cell>
          <cell r="G1961" t="str">
            <v xml:space="preserve">Unit </v>
          </cell>
          <cell r="H1961" t="str">
            <v>X</v>
          </cell>
        </row>
        <row r="1962">
          <cell r="F1962" t="str">
            <v>Kabel Tray (Vertikal) 800 x 100 mm TRU OCP dan aksesoris</v>
          </cell>
          <cell r="G1962" t="str">
            <v>Unit</v>
          </cell>
          <cell r="H1962" t="str">
            <v>X</v>
          </cell>
        </row>
        <row r="1963">
          <cell r="F1963" t="str">
            <v>Kabel Tray (Vertikal) 800 x 100 mm TRC Powder Coating dan aksesoris</v>
          </cell>
          <cell r="G1963" t="str">
            <v>Unit</v>
          </cell>
          <cell r="H1963" t="str">
            <v>X</v>
          </cell>
        </row>
        <row r="1964">
          <cell r="F1964" t="str">
            <v>Kabel Tray (Vertikal) 800 x 100 mm TRC Hot Dip Galvanized dan aksesoris</v>
          </cell>
          <cell r="G1964" t="str">
            <v xml:space="preserve">Unit </v>
          </cell>
          <cell r="H1964" t="str">
            <v>X</v>
          </cell>
        </row>
        <row r="1965">
          <cell r="F1965" t="str">
            <v>Kabel Tray (Vertikal) 800 x 100 mm TRC OCP dan aksesoris</v>
          </cell>
          <cell r="G1965" t="str">
            <v>Unit</v>
          </cell>
          <cell r="H1965" t="str">
            <v>X</v>
          </cell>
        </row>
        <row r="1966">
          <cell r="F1966" t="str">
            <v>Kabel Tray (Vertikal) 700 x 100 mm TRU Powder Coating dan aksesoris</v>
          </cell>
          <cell r="G1966" t="str">
            <v>Unit</v>
          </cell>
          <cell r="H1966" t="str">
            <v>X</v>
          </cell>
        </row>
        <row r="1967">
          <cell r="F1967" t="str">
            <v>Kabel Tray (Vertikal) 700 x 100 mm TRU Hot Dip Galvanized dan aksesoris</v>
          </cell>
          <cell r="G1967" t="str">
            <v xml:space="preserve">Unit </v>
          </cell>
          <cell r="H1967" t="str">
            <v>X</v>
          </cell>
        </row>
        <row r="1968">
          <cell r="F1968" t="str">
            <v>Kabel Tray (Vertikal) 700 x 100 mm TRU OCP dan aksesoris</v>
          </cell>
          <cell r="G1968" t="str">
            <v>Unit</v>
          </cell>
          <cell r="H1968" t="str">
            <v>X</v>
          </cell>
        </row>
        <row r="1969">
          <cell r="F1969" t="str">
            <v>Kabel Tray (Vertikal) 700 x 100 mm TRC Powder Coating dan aksesoris</v>
          </cell>
          <cell r="G1969" t="str">
            <v>Unit</v>
          </cell>
          <cell r="H1969" t="str">
            <v>X</v>
          </cell>
        </row>
        <row r="1970">
          <cell r="F1970" t="str">
            <v>Kabel Tray (Vertikal) 700 x 100 mm TRC Hot Dip Galvanized dan aksesoris</v>
          </cell>
          <cell r="G1970" t="str">
            <v xml:space="preserve">Unit </v>
          </cell>
          <cell r="H1970" t="str">
            <v>X</v>
          </cell>
        </row>
        <row r="1971">
          <cell r="F1971" t="str">
            <v>Kabel Tray (Vertikal) 700 x 100 mm TRC OCP dan aksesoris</v>
          </cell>
          <cell r="G1971" t="str">
            <v>Unit</v>
          </cell>
          <cell r="H1971" t="str">
            <v>X</v>
          </cell>
        </row>
        <row r="1972">
          <cell r="F1972" t="str">
            <v>Kabel Tray (Vertikal) 600 x 100 mm TRU Hot Dip Galvanized dan aksesoris</v>
          </cell>
          <cell r="G1972" t="str">
            <v>Unit</v>
          </cell>
          <cell r="H1972" t="str">
            <v>X</v>
          </cell>
        </row>
        <row r="1973">
          <cell r="F1973" t="str">
            <v>Kabel Tray (Vertikal) 600 x 100 mm TRU OCP dan aksesoris</v>
          </cell>
          <cell r="G1973" t="str">
            <v xml:space="preserve">Unit </v>
          </cell>
          <cell r="H1973" t="str">
            <v>X</v>
          </cell>
        </row>
        <row r="1974">
          <cell r="F1974" t="str">
            <v>Kabel Tray (Vertikal)
600 x 100 mm TRC
Powder Coating dan
aksesoris</v>
          </cell>
          <cell r="G1974" t="str">
            <v xml:space="preserve">Unit </v>
          </cell>
          <cell r="H1974" t="str">
            <v>X</v>
          </cell>
        </row>
        <row r="1975">
          <cell r="F1975" t="str">
            <v>Kabel Tray (Vertikal)
600 x 100 mm TRC
Hot Dip Galvanized
dan aksesoris</v>
          </cell>
          <cell r="G1975" t="str">
            <v>Unit</v>
          </cell>
          <cell r="H1975" t="str">
            <v>X</v>
          </cell>
        </row>
        <row r="1976">
          <cell r="F1976" t="str">
            <v>Kabel Tray (Vertikal)
600 x 100 mm TRC
OCP dan aksesoris</v>
          </cell>
          <cell r="G1976" t="str">
            <v xml:space="preserve">Unit </v>
          </cell>
          <cell r="H1976" t="str">
            <v>X</v>
          </cell>
        </row>
        <row r="1977">
          <cell r="F1977" t="str">
            <v>Kabel Tray (Vertikal)
500 x 100 mm TRU
Hot Dip Galvanized
dan aksesoris</v>
          </cell>
          <cell r="G1977" t="str">
            <v>Unit</v>
          </cell>
          <cell r="H1977" t="str">
            <v>X</v>
          </cell>
        </row>
        <row r="1978">
          <cell r="F1978" t="str">
            <v>Kabel Tray (Vertikal)
500 x 100 mm TRU
OCP dan aksesoris</v>
          </cell>
          <cell r="G1978" t="str">
            <v xml:space="preserve">Unit </v>
          </cell>
          <cell r="H1978" t="str">
            <v>X</v>
          </cell>
        </row>
        <row r="1979">
          <cell r="F1979" t="str">
            <v>Kabel Tray (Vertikal)
500 x 100 mm TRC
Powder Coating dan
aksesoris</v>
          </cell>
          <cell r="G1979" t="str">
            <v>Unit</v>
          </cell>
          <cell r="H1979" t="str">
            <v>X</v>
          </cell>
        </row>
        <row r="1980">
          <cell r="F1980" t="str">
            <v>Kabel Tray (Vertikal)
500 x 100 mm TRC
Hot Dip Galvanized
dan aksesoris</v>
          </cell>
          <cell r="G1980" t="str">
            <v xml:space="preserve">Unit </v>
          </cell>
          <cell r="H1980" t="str">
            <v>X</v>
          </cell>
        </row>
        <row r="1981">
          <cell r="F1981" t="str">
            <v>Kabel Tray (Vertikal)
500 x 100 mm TRC
OCP dan aksesoris</v>
          </cell>
          <cell r="G1981" t="str">
            <v>Unit</v>
          </cell>
          <cell r="H1981" t="str">
            <v>X</v>
          </cell>
        </row>
        <row r="1982">
          <cell r="F1982" t="str">
            <v>Kabel Tray (Vertikal)
400 x 100 mm TRU
Hot Dip Galvanized
dan aksesoris</v>
          </cell>
          <cell r="G1982" t="str">
            <v xml:space="preserve">Unit </v>
          </cell>
          <cell r="H1982" t="str">
            <v>X</v>
          </cell>
        </row>
        <row r="1983">
          <cell r="F1983" t="str">
            <v>Kabel Tray (Vertikal)
400 x 100 mm TRU
OCP dan aksesoris</v>
          </cell>
          <cell r="G1983" t="str">
            <v>Unit</v>
          </cell>
          <cell r="H1983" t="str">
            <v>X</v>
          </cell>
        </row>
        <row r="1984">
          <cell r="F1984" t="str">
            <v>Kabel Tray (Vertikal)
400 x 100 mm TRC
Powder Coating dan
aksesoris</v>
          </cell>
          <cell r="G1984" t="str">
            <v xml:space="preserve">Unit </v>
          </cell>
          <cell r="H1984" t="str">
            <v>X</v>
          </cell>
        </row>
        <row r="1985">
          <cell r="F1985" t="str">
            <v>Kabel Tray (Vertikal)
400 x 100 mm TRC
Hot Dip Galvanized
dan aksesoris</v>
          </cell>
          <cell r="G1985" t="str">
            <v>Unit</v>
          </cell>
          <cell r="H1985" t="str">
            <v>X</v>
          </cell>
        </row>
        <row r="1986">
          <cell r="F1986" t="str">
            <v>Kabel Tray (Vertikal)
400 x 100 mm TRC
OCP dan aksesoris</v>
          </cell>
          <cell r="G1986" t="str">
            <v xml:space="preserve">Unit </v>
          </cell>
          <cell r="H1986" t="str">
            <v>X</v>
          </cell>
        </row>
        <row r="1987">
          <cell r="F1987" t="str">
            <v>Kabel Tray (Vertikal)
300 x 100 mm TRU
Hot Dip Galvanized
dan aksesoris</v>
          </cell>
          <cell r="G1987" t="str">
            <v>Unit</v>
          </cell>
          <cell r="H1987" t="str">
            <v>X</v>
          </cell>
        </row>
        <row r="1988">
          <cell r="F1988" t="str">
            <v>Kabel Tray (Vertikal)
300 x 100 mm TRU
OCP dan aksesoris</v>
          </cell>
          <cell r="G1988" t="str">
            <v xml:space="preserve">Unit </v>
          </cell>
          <cell r="H1988" t="str">
            <v>X</v>
          </cell>
        </row>
        <row r="1989">
          <cell r="F1989" t="str">
            <v>Kabel Tray (Vertikal)
300 x 100 mm TRC
Powder Coating dan
aksesoris</v>
          </cell>
          <cell r="G1989" t="str">
            <v>Unit</v>
          </cell>
          <cell r="H1989" t="str">
            <v>X</v>
          </cell>
        </row>
        <row r="1990">
          <cell r="F1990" t="str">
            <v>Kabel Tray (Vertikal)
300 x 100 mm TRC
Hot Dip Galvanized
dan aksesoris</v>
          </cell>
          <cell r="G1990" t="str">
            <v xml:space="preserve">Unit </v>
          </cell>
          <cell r="H1990" t="str">
            <v>X</v>
          </cell>
        </row>
        <row r="1991">
          <cell r="F1991" t="str">
            <v>Kabel Tray (Vertikal)
300 x 100 mm TRC
OCP dan aksesoris</v>
          </cell>
          <cell r="G1991" t="str">
            <v>Unit</v>
          </cell>
          <cell r="H1991" t="str">
            <v>X</v>
          </cell>
        </row>
        <row r="1992">
          <cell r="F1992" t="str">
            <v>Kabel Tray (Vertikal)
200 x 100 mm TRU
Hot Dip Galvanized
dan aksesoris</v>
          </cell>
          <cell r="G1992" t="str">
            <v xml:space="preserve">Unit </v>
          </cell>
          <cell r="H1992" t="str">
            <v>X</v>
          </cell>
        </row>
        <row r="1993">
          <cell r="F1993" t="str">
            <v>Kabel Tray (Vertikal)
200 x 100 mm TRU
OCP dan aksesoris</v>
          </cell>
          <cell r="G1993" t="str">
            <v>Unit</v>
          </cell>
          <cell r="H1993" t="str">
            <v>X</v>
          </cell>
        </row>
        <row r="1994">
          <cell r="F1994" t="str">
            <v>Kabel Tray (Vertikal)
200 x 100 mm TRC
Powder Coating dan
aksesoris</v>
          </cell>
          <cell r="G1994" t="str">
            <v xml:space="preserve">Unit </v>
          </cell>
          <cell r="H1994" t="str">
            <v>X</v>
          </cell>
        </row>
        <row r="1995">
          <cell r="F1995" t="str">
            <v>Kabel Tray (Vertikal)
200 x 100 mm TRC
Hot Dip Galvanized
dan aksesoris</v>
          </cell>
          <cell r="G1995" t="str">
            <v>Unit</v>
          </cell>
          <cell r="H1995" t="str">
            <v>X</v>
          </cell>
        </row>
        <row r="1996">
          <cell r="F1996" t="str">
            <v>Kabel Tray (Vertikal)
200 x 100 mm TRC
OCP dan aksesoris</v>
          </cell>
          <cell r="G1996" t="str">
            <v xml:space="preserve">Unit </v>
          </cell>
          <cell r="H1996" t="str">
            <v>X</v>
          </cell>
        </row>
        <row r="1997">
          <cell r="F1997" t="str">
            <v>Kabel Tray (Vertikal)
150 x 100 mm TRU
Powder Coating dan
aksesoris</v>
          </cell>
          <cell r="G1997" t="str">
            <v>Unit</v>
          </cell>
          <cell r="H1997" t="str">
            <v>X</v>
          </cell>
        </row>
        <row r="1998">
          <cell r="F1998" t="str">
            <v>Kabel Tray (Vertikal)
150 x 100 mm TRU
Hot Dip Galvanized
dan aksesoris</v>
          </cell>
          <cell r="G1998" t="str">
            <v xml:space="preserve">Unit </v>
          </cell>
          <cell r="H1998" t="str">
            <v>X</v>
          </cell>
        </row>
        <row r="1999">
          <cell r="F1999" t="str">
            <v>Kabel Tray (Vertikal)
150 x 100 mm TRU
OCP dan aksesoris</v>
          </cell>
          <cell r="G1999" t="str">
            <v>Unit</v>
          </cell>
          <cell r="H1999" t="str">
            <v>X</v>
          </cell>
        </row>
        <row r="2000">
          <cell r="F2000" t="str">
            <v>Kabel Tray (Vertikal)
150 x 100 mm TRC
Powder Coating dan
aksesoris</v>
          </cell>
          <cell r="G2000" t="str">
            <v xml:space="preserve">Unit </v>
          </cell>
          <cell r="H2000" t="str">
            <v>X</v>
          </cell>
        </row>
        <row r="2001">
          <cell r="F2001" t="str">
            <v>Kabel Tray (Vertikal)
150 x 100 mm TRC
Hot Dip Galvanized
dan aksesoris</v>
          </cell>
          <cell r="G2001" t="str">
            <v>Unit</v>
          </cell>
          <cell r="H2001" t="str">
            <v>X</v>
          </cell>
        </row>
        <row r="2002">
          <cell r="F2002" t="str">
            <v>Kabel Tray (Vertikal)
150 x 100 mm TRC
OCP dan aksesoris</v>
          </cell>
          <cell r="G2002" t="str">
            <v xml:space="preserve">Unit </v>
          </cell>
          <cell r="H2002" t="str">
            <v>X</v>
          </cell>
        </row>
        <row r="2003">
          <cell r="F2003" t="str">
            <v>Kabel tray 200 x 100 mm</v>
          </cell>
          <cell r="G2003" t="str">
            <v>m'</v>
          </cell>
          <cell r="H2003">
            <v>427600</v>
          </cell>
        </row>
        <row r="2004">
          <cell r="F2004" t="str">
            <v>Kabel tray 300 x 100 mm</v>
          </cell>
          <cell r="G2004" t="str">
            <v>m'</v>
          </cell>
          <cell r="H2004">
            <v>627600</v>
          </cell>
        </row>
        <row r="2005">
          <cell r="F2005" t="str">
            <v>Kabel tray 400 x 100 mm</v>
          </cell>
          <cell r="G2005" t="str">
            <v>m'</v>
          </cell>
          <cell r="H2005" t="str">
            <v>X</v>
          </cell>
        </row>
        <row r="2006">
          <cell r="F2006" t="str">
            <v>Kabel tray 500 x 100 mm</v>
          </cell>
          <cell r="G2006" t="str">
            <v>m'</v>
          </cell>
          <cell r="H2006" t="str">
            <v>X</v>
          </cell>
        </row>
        <row r="2007">
          <cell r="F2007" t="str">
            <v>Kabel tray 600 x 100 mm</v>
          </cell>
          <cell r="G2007" t="str">
            <v>m'</v>
          </cell>
          <cell r="H2007">
            <v>911000</v>
          </cell>
        </row>
        <row r="2008">
          <cell r="F2008" t="str">
            <v>Klem kabel tray</v>
          </cell>
          <cell r="G2008" t="str">
            <v>buah</v>
          </cell>
          <cell r="H2008">
            <v>13000</v>
          </cell>
        </row>
        <row r="2009">
          <cell r="F2009" t="str">
            <v>Klem 20 mm</v>
          </cell>
          <cell r="G2009" t="str">
            <v xml:space="preserve">buah </v>
          </cell>
          <cell r="H2009">
            <v>650</v>
          </cell>
        </row>
        <row r="2010">
          <cell r="F2010" t="str">
            <v>Mur baut kabel tray</v>
          </cell>
          <cell r="G2010" t="str">
            <v>buah</v>
          </cell>
          <cell r="H2010" t="str">
            <v>X</v>
          </cell>
        </row>
        <row r="2011">
          <cell r="F2011" t="str">
            <v>PVC conduit HI 20 mm²</v>
          </cell>
          <cell r="G2011" t="str">
            <v>m'</v>
          </cell>
          <cell r="H2011">
            <v>7100</v>
          </cell>
        </row>
        <row r="2012">
          <cell r="F2012" t="str">
            <v>Flexible Conduit 20 mm</v>
          </cell>
          <cell r="G2012" t="str">
            <v>m</v>
          </cell>
          <cell r="H2012">
            <v>7100</v>
          </cell>
        </row>
        <row r="2013">
          <cell r="F2013" t="str">
            <v>PVC conduit HI 32 mm²</v>
          </cell>
          <cell r="G2013" t="str">
            <v>m1</v>
          </cell>
          <cell r="H2013">
            <v>7100</v>
          </cell>
        </row>
        <row r="2014">
          <cell r="F2014" t="str">
            <v xml:space="preserve">Conduit HI 20 mm </v>
          </cell>
          <cell r="G2014" t="str">
            <v>m</v>
          </cell>
          <cell r="H2014">
            <v>7100</v>
          </cell>
        </row>
        <row r="2015">
          <cell r="F2015" t="str">
            <v xml:space="preserve">Saklar Tunggal </v>
          </cell>
          <cell r="G2015" t="str">
            <v xml:space="preserve">buah </v>
          </cell>
          <cell r="H2015">
            <v>30900</v>
          </cell>
        </row>
        <row r="2016">
          <cell r="F2016" t="str">
            <v xml:space="preserve">Saklar Ganda </v>
          </cell>
          <cell r="G2016" t="str">
            <v xml:space="preserve">Buah </v>
          </cell>
          <cell r="H2016">
            <v>33200</v>
          </cell>
        </row>
        <row r="2017">
          <cell r="F2017" t="str">
            <v xml:space="preserve">Saklar Triple </v>
          </cell>
          <cell r="G2017" t="str">
            <v xml:space="preserve">Buag </v>
          </cell>
          <cell r="H2017" t="str">
            <v>X</v>
          </cell>
        </row>
        <row r="2018">
          <cell r="F2018" t="str">
            <v xml:space="preserve">Grid Switch </v>
          </cell>
          <cell r="G2018" t="str">
            <v xml:space="preserve">Buah </v>
          </cell>
          <cell r="H2018" t="str">
            <v>X</v>
          </cell>
        </row>
        <row r="2019">
          <cell r="F2019" t="str">
            <v xml:space="preserve">Grid Switch 4 x 2 Gang </v>
          </cell>
          <cell r="G2019" t="str">
            <v xml:space="preserve">buah </v>
          </cell>
          <cell r="H2019" t="str">
            <v>X</v>
          </cell>
        </row>
        <row r="2020">
          <cell r="F2020" t="str">
            <v xml:space="preserve">Stop Kontak </v>
          </cell>
          <cell r="G2020" t="str">
            <v xml:space="preserve">Buah </v>
          </cell>
          <cell r="H2020">
            <v>115800</v>
          </cell>
        </row>
        <row r="2021">
          <cell r="F2021" t="str">
            <v>Stop Kontak AC</v>
          </cell>
          <cell r="G2021" t="str">
            <v xml:space="preserve">buah </v>
          </cell>
          <cell r="H2021">
            <v>75600</v>
          </cell>
        </row>
        <row r="2022">
          <cell r="F2022" t="str">
            <v xml:space="preserve">T Dus </v>
          </cell>
          <cell r="G2022" t="str">
            <v xml:space="preserve">buah </v>
          </cell>
          <cell r="H2022">
            <v>3235</v>
          </cell>
        </row>
        <row r="2023">
          <cell r="F2023" t="str">
            <v>Socket Conduit 20 mm</v>
          </cell>
          <cell r="G2023" t="str">
            <v xml:space="preserve">buah </v>
          </cell>
          <cell r="H2023">
            <v>3090</v>
          </cell>
        </row>
        <row r="2024">
          <cell r="F2024" t="str">
            <v xml:space="preserve">Klem 20 mm </v>
          </cell>
          <cell r="G2024" t="str">
            <v xml:space="preserve">buah </v>
          </cell>
          <cell r="H2024">
            <v>1300</v>
          </cell>
        </row>
        <row r="2025">
          <cell r="F2025" t="str">
            <v xml:space="preserve">Isolasi </v>
          </cell>
          <cell r="G2025" t="str">
            <v>m</v>
          </cell>
          <cell r="H2025">
            <v>1430</v>
          </cell>
        </row>
        <row r="2026">
          <cell r="F2026" t="str">
            <v xml:space="preserve">lasdop </v>
          </cell>
          <cell r="G2026" t="str">
            <v xml:space="preserve">buah </v>
          </cell>
          <cell r="H2026">
            <v>523</v>
          </cell>
        </row>
        <row r="2027">
          <cell r="F2027" t="str">
            <v xml:space="preserve">Elbow </v>
          </cell>
          <cell r="G2027" t="str">
            <v xml:space="preserve">buah </v>
          </cell>
          <cell r="H2027">
            <v>580</v>
          </cell>
        </row>
        <row r="2028">
          <cell r="F2028" t="str">
            <v xml:space="preserve">Fischer S6 + Sekrup </v>
          </cell>
          <cell r="G2028" t="str">
            <v xml:space="preserve">buah </v>
          </cell>
          <cell r="H2028">
            <v>290</v>
          </cell>
        </row>
        <row r="2029">
          <cell r="F2029" t="str">
            <v xml:space="preserve">kWh meter Token 1 Phase </v>
          </cell>
          <cell r="G2029" t="str">
            <v xml:space="preserve">unit </v>
          </cell>
          <cell r="H2029">
            <v>534000</v>
          </cell>
        </row>
        <row r="2030">
          <cell r="F2030" t="str">
            <v xml:space="preserve">kWh meter Token 3 Phase </v>
          </cell>
          <cell r="G2030" t="str">
            <v xml:space="preserve">unit </v>
          </cell>
          <cell r="H2030">
            <v>3150000</v>
          </cell>
        </row>
        <row r="2031">
          <cell r="F2031" t="str">
            <v xml:space="preserve">Software sistem kwh meter swakelola prabayar </v>
          </cell>
          <cell r="G2031" t="str">
            <v xml:space="preserve">buah </v>
          </cell>
          <cell r="H2031" t="str">
            <v>X</v>
          </cell>
        </row>
        <row r="2032">
          <cell r="F2032" t="str">
            <v xml:space="preserve">PC Server </v>
          </cell>
          <cell r="G2032" t="str">
            <v xml:space="preserve">buah </v>
          </cell>
          <cell r="H2032" t="str">
            <v>X</v>
          </cell>
        </row>
        <row r="2033">
          <cell r="F2033" t="str">
            <v>Panel Utama Tegangan Menengah</v>
          </cell>
          <cell r="G2033" t="str">
            <v xml:space="preserve">unit </v>
          </cell>
          <cell r="H2033" t="str">
            <v>X</v>
          </cell>
        </row>
        <row r="2034">
          <cell r="F2034" t="str">
            <v>Panel Utama Tegangan Rendah</v>
          </cell>
          <cell r="G2034" t="str">
            <v xml:space="preserve">unit </v>
          </cell>
          <cell r="H2034" t="str">
            <v>X</v>
          </cell>
        </row>
        <row r="2035">
          <cell r="F2035" t="str">
            <v>MDP Floor Standing</v>
          </cell>
          <cell r="G2035" t="str">
            <v xml:space="preserve">unit </v>
          </cell>
          <cell r="H2035" t="str">
            <v>X</v>
          </cell>
        </row>
        <row r="2036">
          <cell r="F2036" t="str">
            <v xml:space="preserve">MDP Wall Mounted </v>
          </cell>
          <cell r="G2036" t="str">
            <v xml:space="preserve">Unit </v>
          </cell>
          <cell r="H2036" t="str">
            <v>X</v>
          </cell>
        </row>
        <row r="2037">
          <cell r="F2037" t="str">
            <v xml:space="preserve">SDP Floor Standing </v>
          </cell>
          <cell r="G2037" t="str">
            <v>unit</v>
          </cell>
          <cell r="H2037" t="str">
            <v>X</v>
          </cell>
        </row>
        <row r="2038">
          <cell r="F2038" t="str">
            <v xml:space="preserve">SDP Wall  Mounted </v>
          </cell>
          <cell r="G2038" t="str">
            <v>unit</v>
          </cell>
          <cell r="H2038" t="str">
            <v>X</v>
          </cell>
        </row>
        <row r="2039">
          <cell r="F2039" t="str">
            <v>Panel Lantai Wall Mounted 800x600x200</v>
          </cell>
          <cell r="G2039" t="str">
            <v xml:space="preserve">Unit </v>
          </cell>
          <cell r="H2039" t="str">
            <v>X</v>
          </cell>
        </row>
        <row r="2040">
          <cell r="F2040" t="str">
            <v>Panel Lantai Wall Mounted 600x 400 x200</v>
          </cell>
          <cell r="G2040" t="str">
            <v>unit</v>
          </cell>
          <cell r="H2040" t="str">
            <v>X</v>
          </cell>
        </row>
        <row r="2041">
          <cell r="F2041" t="str">
            <v xml:space="preserve">Panel kWh Meter </v>
          </cell>
          <cell r="G2041" t="str">
            <v>unit</v>
          </cell>
          <cell r="H2041">
            <v>2500000</v>
          </cell>
        </row>
        <row r="2042">
          <cell r="F2042" t="str">
            <v xml:space="preserve">Panel Penerang Luar Outdoor termasuk material batu </v>
          </cell>
          <cell r="G2042" t="str">
            <v>Unit</v>
          </cell>
          <cell r="H2042" t="str">
            <v>X</v>
          </cell>
        </row>
        <row r="2043">
          <cell r="F2043" t="str">
            <v>Panel Kontrol Pompa</v>
          </cell>
          <cell r="G2043" t="str">
            <v>unit</v>
          </cell>
          <cell r="H2043" t="str">
            <v>X</v>
          </cell>
        </row>
        <row r="2044">
          <cell r="F2044" t="str">
            <v>Panel Power Gondola termasuk material bantu</v>
          </cell>
          <cell r="G2044" t="str">
            <v xml:space="preserve">unit </v>
          </cell>
          <cell r="H2044" t="str">
            <v>X</v>
          </cell>
        </row>
        <row r="2045">
          <cell r="F2045" t="str">
            <v>Panel Power Elektronik termasuk material bantu</v>
          </cell>
          <cell r="G2045" t="str">
            <v>unit</v>
          </cell>
          <cell r="H2045" t="str">
            <v>X</v>
          </cell>
        </row>
        <row r="2046">
          <cell r="F2046" t="str">
            <v xml:space="preserve">Panel Power AHU termasuk material bantu </v>
          </cell>
          <cell r="G2046" t="str">
            <v xml:space="preserve">unit </v>
          </cell>
          <cell r="H2046" t="str">
            <v>X</v>
          </cell>
        </row>
        <row r="2047">
          <cell r="F2047" t="str">
            <v xml:space="preserve">Panel Power AC termasuk material bantu </v>
          </cell>
          <cell r="G2047" t="str">
            <v xml:space="preserve">unit </v>
          </cell>
          <cell r="H2047" t="str">
            <v>X</v>
          </cell>
        </row>
        <row r="2048">
          <cell r="F2048" t="str">
            <v xml:space="preserve">Panel Power Chiller termasuk material bantu </v>
          </cell>
          <cell r="G2048" t="str">
            <v xml:space="preserve">unit </v>
          </cell>
          <cell r="H2048" t="str">
            <v>X</v>
          </cell>
        </row>
        <row r="2049">
          <cell r="F2049" t="str">
            <v>Panel Kontrol Power Chiller termasuk material bantu</v>
          </cell>
          <cell r="G2049" t="str">
            <v xml:space="preserve">unit </v>
          </cell>
          <cell r="H2049" t="str">
            <v>X</v>
          </cell>
        </row>
        <row r="2050">
          <cell r="F2050" t="str">
            <v xml:space="preserve">Panel Kontrol Power Cooling Tower termasuk material bantu </v>
          </cell>
          <cell r="G2050" t="str">
            <v xml:space="preserve">unit </v>
          </cell>
          <cell r="H2050" t="str">
            <v>X</v>
          </cell>
        </row>
        <row r="2051">
          <cell r="F2051" t="str">
            <v>Panel Kontrol Fan Presurisasi termasuk material bantu</v>
          </cell>
          <cell r="G2051" t="str">
            <v xml:space="preserve">unit </v>
          </cell>
          <cell r="H2051" t="str">
            <v>X</v>
          </cell>
        </row>
        <row r="2052">
          <cell r="F2052" t="str">
            <v xml:space="preserve">MCB Box </v>
          </cell>
          <cell r="G2052" t="str">
            <v xml:space="preserve">unit </v>
          </cell>
          <cell r="H2052">
            <v>182900</v>
          </cell>
        </row>
        <row r="2053">
          <cell r="F2053" t="str">
            <v xml:space="preserve">Genset Kap : 75kVA Silent Type dan aksesoris </v>
          </cell>
          <cell r="G2053" t="str">
            <v>unit</v>
          </cell>
          <cell r="H2053" t="str">
            <v>X</v>
          </cell>
        </row>
        <row r="2054">
          <cell r="F2054" t="str">
            <v xml:space="preserve">Genset Kap : 100 kVA Silent Type dan aksesoris </v>
          </cell>
          <cell r="G2054" t="str">
            <v xml:space="preserve">unit </v>
          </cell>
          <cell r="H2054" t="str">
            <v>X</v>
          </cell>
        </row>
        <row r="2055">
          <cell r="F2055" t="str">
            <v xml:space="preserve">Genset Kap : 400 kVA Silent Type dan aksesoris </v>
          </cell>
          <cell r="G2055" t="str">
            <v xml:space="preserve">unit </v>
          </cell>
          <cell r="H2055" t="str">
            <v>X</v>
          </cell>
        </row>
        <row r="2056">
          <cell r="F2056" t="str">
            <v xml:space="preserve">UPS 5 KVA </v>
          </cell>
          <cell r="G2056" t="str">
            <v xml:space="preserve">unit </v>
          </cell>
          <cell r="H2056" t="str">
            <v>X</v>
          </cell>
        </row>
        <row r="2057">
          <cell r="F2057" t="str">
            <v xml:space="preserve">Tangki Solar Harian 500 liter </v>
          </cell>
          <cell r="G2057" t="str">
            <v xml:space="preserve">unit </v>
          </cell>
          <cell r="H2057" t="str">
            <v>X</v>
          </cell>
        </row>
        <row r="2058">
          <cell r="F2058" t="str">
            <v>Hand Pump Solar
dan aksesoris</v>
          </cell>
          <cell r="G2058" t="str">
            <v xml:space="preserve">Buah </v>
          </cell>
          <cell r="H2058" t="str">
            <v>X</v>
          </cell>
        </row>
        <row r="2059">
          <cell r="F2059" t="str">
            <v>Trafo Kap : 630 Kva : Synthetic Oil Ester</v>
          </cell>
          <cell r="G2059" t="str">
            <v>unit</v>
          </cell>
          <cell r="H2059" t="str">
            <v>X</v>
          </cell>
        </row>
        <row r="2060">
          <cell r="F2060" t="str">
            <v>Downlight 5 Inch 14, 5 Watt LED + Aksesoris</v>
          </cell>
          <cell r="G2060" t="str">
            <v xml:space="preserve">buah </v>
          </cell>
          <cell r="H2060" t="str">
            <v>X</v>
          </cell>
        </row>
        <row r="2061">
          <cell r="F2061" t="str">
            <v xml:space="preserve">Lampu LED E27 10 watt + Aksesoris </v>
          </cell>
          <cell r="G2061" t="str">
            <v xml:space="preserve">buah </v>
          </cell>
          <cell r="H2061" t="str">
            <v>X</v>
          </cell>
        </row>
        <row r="2062">
          <cell r="F2062" t="str">
            <v xml:space="preserve">Fitting E27 + Aksesoris </v>
          </cell>
          <cell r="G2062" t="str">
            <v xml:space="preserve">buah </v>
          </cell>
          <cell r="H2062">
            <v>31400</v>
          </cell>
        </row>
        <row r="2063">
          <cell r="F2063" t="str">
            <v xml:space="preserve">Nicad Battery </v>
          </cell>
          <cell r="G2063" t="str">
            <v>buah</v>
          </cell>
          <cell r="H2063">
            <v>102700</v>
          </cell>
        </row>
        <row r="2064">
          <cell r="F2064" t="str">
            <v>Lampu LED E27 19 watt</v>
          </cell>
          <cell r="G2064" t="str">
            <v xml:space="preserve">buah </v>
          </cell>
          <cell r="H2064" t="str">
            <v>X</v>
          </cell>
        </row>
        <row r="2065">
          <cell r="F2065" t="str">
            <v>RM TKI 2 x 16 Watt LED</v>
          </cell>
          <cell r="G2065" t="str">
            <v>unit</v>
          </cell>
          <cell r="H2065" t="str">
            <v>X</v>
          </cell>
        </row>
        <row r="2066">
          <cell r="F2066" t="str">
            <v>Lampu Sorot LED 100 Watt</v>
          </cell>
          <cell r="G2066" t="str">
            <v xml:space="preserve">unit </v>
          </cell>
          <cell r="H2066">
            <v>458300</v>
          </cell>
        </row>
        <row r="2067">
          <cell r="F2067" t="str">
            <v xml:space="preserve">Lampu Sorot RGB 30 Watt untuk Outdoor </v>
          </cell>
          <cell r="G2067" t="str">
            <v xml:space="preserve">unit </v>
          </cell>
          <cell r="H2067" t="str">
            <v>X</v>
          </cell>
        </row>
        <row r="2068">
          <cell r="F2068" t="str">
            <v xml:space="preserve">Pelindung Lampu </v>
          </cell>
          <cell r="G2068" t="str">
            <v xml:space="preserve">unit </v>
          </cell>
          <cell r="H2068" t="str">
            <v>X</v>
          </cell>
        </row>
        <row r="2069">
          <cell r="F2069" t="str">
            <v xml:space="preserve">Lampu High Bay 100 Watt </v>
          </cell>
          <cell r="G2069" t="str">
            <v xml:space="preserve">unit </v>
          </cell>
          <cell r="H2069" t="str">
            <v>X</v>
          </cell>
        </row>
        <row r="2070">
          <cell r="F2070" t="str">
            <v xml:space="preserve">Lampu Eksit LED 3 Watt c/w Battery </v>
          </cell>
          <cell r="G2070" t="str">
            <v xml:space="preserve">buah </v>
          </cell>
          <cell r="H2070" t="str">
            <v>X</v>
          </cell>
        </row>
        <row r="2071">
          <cell r="F2071" t="str">
            <v xml:space="preserve">Lampu TLED 1  x 14 Watt 2.100 Lumen </v>
          </cell>
          <cell r="G2071" t="str">
            <v>buah</v>
          </cell>
          <cell r="H2071">
            <v>287800</v>
          </cell>
        </row>
        <row r="2072">
          <cell r="F2072" t="str">
            <v>Lampu TLED 1 x 24 Watt 2.100 Lumen</v>
          </cell>
          <cell r="G2072" t="str">
            <v xml:space="preserve">buah </v>
          </cell>
          <cell r="H2072" t="str">
            <v>X</v>
          </cell>
        </row>
        <row r="2073">
          <cell r="F2073" t="str">
            <v>Lampu TLED 2 x 24 Watt 2.100 Lumen</v>
          </cell>
          <cell r="G2073" t="str">
            <v xml:space="preserve">buah </v>
          </cell>
          <cell r="H2073" t="str">
            <v>X</v>
          </cell>
        </row>
        <row r="2074">
          <cell r="F2074" t="str">
            <v xml:space="preserve">Lampu PJU LED 50 Watt </v>
          </cell>
          <cell r="G2074" t="str">
            <v xml:space="preserve">buah </v>
          </cell>
          <cell r="H2074" t="str">
            <v>X</v>
          </cell>
        </row>
        <row r="2075">
          <cell r="F2075" t="str">
            <v>Tiang PJU Kawasan 6-7 m</v>
          </cell>
          <cell r="G2075" t="str">
            <v xml:space="preserve">buah </v>
          </cell>
          <cell r="H2075" t="str">
            <v>X</v>
          </cell>
        </row>
        <row r="2076">
          <cell r="F2076" t="str">
            <v>Lampu PJU LED 50 Watt + Solar Cell</v>
          </cell>
          <cell r="G2076" t="str">
            <v xml:space="preserve">buah </v>
          </cell>
          <cell r="H2076" t="str">
            <v>X</v>
          </cell>
        </row>
        <row r="2077">
          <cell r="F2077" t="str">
            <v>Lampu Taman 25 Watt +Tiang 1 m</v>
          </cell>
          <cell r="G2077" t="str">
            <v xml:space="preserve">buah </v>
          </cell>
          <cell r="H2077" t="str">
            <v>X</v>
          </cell>
        </row>
        <row r="2078">
          <cell r="F2078" t="str">
            <v>Fitting</v>
          </cell>
          <cell r="G2078" t="str">
            <v xml:space="preserve">buah </v>
          </cell>
          <cell r="H2078">
            <v>18900</v>
          </cell>
        </row>
        <row r="2079">
          <cell r="F2079" t="str">
            <v xml:space="preserve">Lampu LED 7 Watt </v>
          </cell>
          <cell r="G2079" t="str">
            <v xml:space="preserve">buah </v>
          </cell>
          <cell r="H2079">
            <v>88200</v>
          </cell>
        </row>
        <row r="2080">
          <cell r="F2080" t="str">
            <v xml:space="preserve">Lampu LED 9 Watt </v>
          </cell>
          <cell r="G2080" t="str">
            <v xml:space="preserve">buah </v>
          </cell>
          <cell r="H2080">
            <v>102700</v>
          </cell>
        </row>
        <row r="2081">
          <cell r="F2081" t="str">
            <v>Lampu Baret 20 Watt</v>
          </cell>
          <cell r="G2081" t="str">
            <v xml:space="preserve">buah </v>
          </cell>
          <cell r="H2081">
            <v>77000</v>
          </cell>
        </row>
        <row r="2082">
          <cell r="F2082" t="str">
            <v>Lampu Baret 32 Watt</v>
          </cell>
          <cell r="G2082" t="str">
            <v xml:space="preserve">buah </v>
          </cell>
          <cell r="H2082">
            <v>97000</v>
          </cell>
        </row>
        <row r="2083">
          <cell r="F2083" t="str">
            <v xml:space="preserve">Lampu Pijar 40 Watt </v>
          </cell>
          <cell r="G2083" t="str">
            <v xml:space="preserve">buah </v>
          </cell>
          <cell r="H2083">
            <v>60100</v>
          </cell>
        </row>
        <row r="2084">
          <cell r="F2084" t="str">
            <v xml:space="preserve">Lampu TL 18 Watt </v>
          </cell>
          <cell r="G2084" t="str">
            <v xml:space="preserve">buah </v>
          </cell>
          <cell r="H2084">
            <v>86250</v>
          </cell>
        </row>
        <row r="2085">
          <cell r="F2085" t="str">
            <v xml:space="preserve">Lampu TLED 18 Watt </v>
          </cell>
          <cell r="G2085" t="str">
            <v xml:space="preserve">buah </v>
          </cell>
          <cell r="H2085">
            <v>287800</v>
          </cell>
        </row>
        <row r="2086">
          <cell r="F2086" t="str">
            <v>Lampu TL  36 Watt</v>
          </cell>
          <cell r="G2086" t="str">
            <v xml:space="preserve">buah </v>
          </cell>
          <cell r="H2086">
            <v>148200</v>
          </cell>
        </row>
        <row r="2087">
          <cell r="F2087" t="str">
            <v>Lampu TLED  36 Watt</v>
          </cell>
          <cell r="G2087" t="str">
            <v xml:space="preserve">buah </v>
          </cell>
          <cell r="H2087">
            <v>296400</v>
          </cell>
        </row>
        <row r="2088">
          <cell r="F2088" t="str">
            <v xml:space="preserve">Lampu Sport Floodlight Led </v>
          </cell>
          <cell r="G2088" t="str">
            <v xml:space="preserve">buah </v>
          </cell>
          <cell r="H2088" t="str">
            <v>X</v>
          </cell>
        </row>
        <row r="2089">
          <cell r="F2089" t="str">
            <v xml:space="preserve">Brackket </v>
          </cell>
          <cell r="G2089" t="str">
            <v xml:space="preserve">buah </v>
          </cell>
          <cell r="H2089" t="str">
            <v>X</v>
          </cell>
        </row>
        <row r="2090">
          <cell r="F2090" t="str">
            <v xml:space="preserve">Junction Box IP Rated </v>
          </cell>
          <cell r="G2090" t="str">
            <v xml:space="preserve">buah </v>
          </cell>
          <cell r="H2090" t="str">
            <v>X</v>
          </cell>
        </row>
        <row r="2091">
          <cell r="F2091" t="str">
            <v xml:space="preserve">Kabel Fiber Optic Dual Core Single Mode </v>
          </cell>
          <cell r="G2091" t="str">
            <v>m'</v>
          </cell>
          <cell r="H2091" t="str">
            <v>X</v>
          </cell>
        </row>
        <row r="2092">
          <cell r="F2092" t="str">
            <v>Pipa HDPE Conduit 20 mm</v>
          </cell>
          <cell r="G2092" t="str">
            <v>m'</v>
          </cell>
          <cell r="H2092" t="str">
            <v>X</v>
          </cell>
        </row>
        <row r="2093">
          <cell r="F2093" t="str">
            <v>DMX LED Controller 1 Universe</v>
          </cell>
          <cell r="G2093" t="str">
            <v xml:space="preserve">buah </v>
          </cell>
          <cell r="H2093" t="str">
            <v>X</v>
          </cell>
        </row>
        <row r="2094">
          <cell r="F2094" t="str">
            <v xml:space="preserve">Sensor Cahaya </v>
          </cell>
          <cell r="G2094" t="str">
            <v xml:space="preserve">buah </v>
          </cell>
          <cell r="H2094" t="str">
            <v>X</v>
          </cell>
        </row>
        <row r="2095">
          <cell r="F2095" t="str">
            <v xml:space="preserve">Sensor Gerak </v>
          </cell>
          <cell r="G2095" t="str">
            <v xml:space="preserve">buah </v>
          </cell>
          <cell r="H2095" t="str">
            <v>X</v>
          </cell>
        </row>
        <row r="2096">
          <cell r="F2096" t="str">
            <v>MCP-FA (Semi Addressable 1 Loop)</v>
          </cell>
          <cell r="G2096" t="str">
            <v>unit</v>
          </cell>
          <cell r="H2096">
            <v>25899500</v>
          </cell>
        </row>
        <row r="2097">
          <cell r="F2097" t="str">
            <v>Programming, Testing &amp; commisioning</v>
          </cell>
          <cell r="G2097" t="str">
            <v xml:space="preserve">lot </v>
          </cell>
          <cell r="H2097" t="str">
            <v>X</v>
          </cell>
        </row>
        <row r="2098">
          <cell r="F2098" t="str">
            <v xml:space="preserve">PC Komputer </v>
          </cell>
          <cell r="G2098" t="str">
            <v xml:space="preserve">Unit </v>
          </cell>
          <cell r="H2098" t="str">
            <v>X</v>
          </cell>
        </row>
        <row r="2099">
          <cell r="F2099" t="str">
            <v xml:space="preserve">Alarm Printer </v>
          </cell>
          <cell r="G2099" t="str">
            <v>unit</v>
          </cell>
          <cell r="H2099" t="str">
            <v>X</v>
          </cell>
        </row>
        <row r="2100">
          <cell r="F2100" t="str">
            <v>Report Printer</v>
          </cell>
          <cell r="G2100" t="str">
            <v>unit</v>
          </cell>
          <cell r="H2100" t="str">
            <v>X</v>
          </cell>
        </row>
        <row r="2101">
          <cell r="F2101" t="str">
            <v>Announciator</v>
          </cell>
          <cell r="G2101" t="str">
            <v>unit</v>
          </cell>
          <cell r="H2101" t="str">
            <v>X</v>
          </cell>
        </row>
        <row r="2102">
          <cell r="F2102" t="str">
            <v xml:space="preserve">Terminal Box Fire Alarm </v>
          </cell>
          <cell r="G2102" t="str">
            <v xml:space="preserve">unit </v>
          </cell>
          <cell r="H2102">
            <v>170100</v>
          </cell>
        </row>
        <row r="2103">
          <cell r="F2103" t="str">
            <v xml:space="preserve">Smoke Detector Addressable </v>
          </cell>
          <cell r="G2103" t="str">
            <v>Unit</v>
          </cell>
          <cell r="H2103">
            <v>371900</v>
          </cell>
        </row>
        <row r="2104">
          <cell r="F2104" t="str">
            <v xml:space="preserve">Rate of Rise Detector Addressable </v>
          </cell>
          <cell r="G2104" t="str">
            <v xml:space="preserve">unit </v>
          </cell>
          <cell r="H2104" t="str">
            <v>X</v>
          </cell>
        </row>
        <row r="2105">
          <cell r="F2105" t="str">
            <v xml:space="preserve">Fix Heat Detector Addressable </v>
          </cell>
          <cell r="G2105" t="str">
            <v xml:space="preserve">unit </v>
          </cell>
          <cell r="H2105">
            <v>434200</v>
          </cell>
        </row>
        <row r="2106">
          <cell r="F2106" t="str">
            <v xml:space="preserve">Smoke Detector Konvensional </v>
          </cell>
          <cell r="G2106" t="str">
            <v xml:space="preserve">unit </v>
          </cell>
          <cell r="H2106">
            <v>371900</v>
          </cell>
        </row>
        <row r="2107">
          <cell r="F2107" t="str">
            <v>Rate of Rise Detector Konvensional</v>
          </cell>
          <cell r="G2107" t="str">
            <v xml:space="preserve">unit </v>
          </cell>
          <cell r="H2107" t="str">
            <v>X</v>
          </cell>
        </row>
        <row r="2108">
          <cell r="F2108" t="str">
            <v>Fix Heat Detector Konvensioanl</v>
          </cell>
          <cell r="G2108" t="str">
            <v xml:space="preserve">unit </v>
          </cell>
          <cell r="H2108" t="str">
            <v>X</v>
          </cell>
        </row>
        <row r="2109">
          <cell r="F2109" t="str">
            <v xml:space="preserve">Lamp Indicator </v>
          </cell>
          <cell r="G2109" t="str">
            <v xml:space="preserve">unit </v>
          </cell>
          <cell r="H2109" t="str">
            <v>X</v>
          </cell>
        </row>
        <row r="2110">
          <cell r="F2110" t="str">
            <v>Manual Break Glass</v>
          </cell>
          <cell r="G2110" t="str">
            <v xml:space="preserve">unit </v>
          </cell>
          <cell r="H2110">
            <v>247800</v>
          </cell>
        </row>
        <row r="2111">
          <cell r="F2111" t="str">
            <v>Horn Strobe</v>
          </cell>
          <cell r="G2111" t="str">
            <v xml:space="preserve">unit </v>
          </cell>
          <cell r="H2111" t="str">
            <v>X</v>
          </cell>
        </row>
        <row r="2112">
          <cell r="F2112" t="str">
            <v xml:space="preserve">Fire Fighting Telepon </v>
          </cell>
          <cell r="G2112" t="str">
            <v xml:space="preserve">unit </v>
          </cell>
          <cell r="H2112" t="str">
            <v>X</v>
          </cell>
        </row>
        <row r="2113">
          <cell r="F2113" t="str">
            <v>Alarm Bell</v>
          </cell>
          <cell r="G2113" t="str">
            <v xml:space="preserve">unit </v>
          </cell>
          <cell r="H2113">
            <v>265700</v>
          </cell>
        </row>
        <row r="2114">
          <cell r="F2114" t="str">
            <v xml:space="preserve">Sirine Module </v>
          </cell>
          <cell r="G2114" t="str">
            <v>buah</v>
          </cell>
          <cell r="H2114">
            <v>669600</v>
          </cell>
        </row>
        <row r="2115">
          <cell r="F2115" t="str">
            <v>Control Module</v>
          </cell>
          <cell r="G2115" t="str">
            <v>Buah</v>
          </cell>
          <cell r="H2115" t="str">
            <v>X</v>
          </cell>
        </row>
        <row r="2116">
          <cell r="F2116" t="str">
            <v>Relay Module</v>
          </cell>
          <cell r="G2116" t="str">
            <v xml:space="preserve">buah </v>
          </cell>
          <cell r="H2116">
            <v>7800</v>
          </cell>
        </row>
        <row r="2117">
          <cell r="F2117" t="str">
            <v xml:space="preserve">Isolator Module </v>
          </cell>
          <cell r="G2117" t="str">
            <v xml:space="preserve">buah </v>
          </cell>
          <cell r="H2117" t="str">
            <v>X</v>
          </cell>
        </row>
        <row r="2118">
          <cell r="F2118" t="str">
            <v>Monitor Module</v>
          </cell>
          <cell r="G2118" t="str">
            <v>buah</v>
          </cell>
          <cell r="H2118" t="str">
            <v>X</v>
          </cell>
        </row>
        <row r="2119">
          <cell r="F2119" t="str">
            <v>Rectifier</v>
          </cell>
          <cell r="G2119" t="str">
            <v>unit</v>
          </cell>
          <cell r="H2119" t="str">
            <v>X</v>
          </cell>
        </row>
        <row r="2120">
          <cell r="F2120" t="str">
            <v>Power Surge Arrester</v>
          </cell>
          <cell r="G2120" t="str">
            <v>unit</v>
          </cell>
          <cell r="H2120" t="str">
            <v>X</v>
          </cell>
        </row>
        <row r="2121">
          <cell r="F2121" t="str">
            <v xml:space="preserve">UPS 2 KVA 15 Menit </v>
          </cell>
          <cell r="G2121" t="str">
            <v>unit</v>
          </cell>
          <cell r="H2121" t="str">
            <v>X</v>
          </cell>
        </row>
        <row r="2122">
          <cell r="F2122" t="str">
            <v>UPS 2 KVA 30 Menit</v>
          </cell>
          <cell r="G2122" t="str">
            <v>unit</v>
          </cell>
          <cell r="H2122" t="str">
            <v>X</v>
          </cell>
        </row>
        <row r="2123">
          <cell r="F2123" t="str">
            <v>UPS 2 KVA 1 Jam</v>
          </cell>
          <cell r="G2123" t="str">
            <v>unit</v>
          </cell>
          <cell r="H2123" t="str">
            <v>X</v>
          </cell>
        </row>
        <row r="2124">
          <cell r="F2124" t="str">
            <v>UPS 2 KVA 2 Jam</v>
          </cell>
          <cell r="G2124" t="str">
            <v>unit</v>
          </cell>
          <cell r="H2124" t="str">
            <v>X</v>
          </cell>
        </row>
        <row r="2125">
          <cell r="F2125" t="str">
            <v>UPS 2 KVA 4 Jam</v>
          </cell>
          <cell r="G2125" t="str">
            <v>unit</v>
          </cell>
          <cell r="H2125" t="str">
            <v>X</v>
          </cell>
        </row>
        <row r="2126">
          <cell r="F2126" t="str">
            <v xml:space="preserve">End of Line Resistor </v>
          </cell>
          <cell r="G2126" t="str">
            <v>unit</v>
          </cell>
          <cell r="H2126" t="str">
            <v>X</v>
          </cell>
        </row>
        <row r="2127">
          <cell r="F2127" t="str">
            <v>Patch Panel UTP Cat 6 4 Port</v>
          </cell>
          <cell r="G2127" t="str">
            <v>unit</v>
          </cell>
          <cell r="H2127" t="str">
            <v>X</v>
          </cell>
        </row>
        <row r="2128">
          <cell r="F2128" t="str">
            <v>Wiring Management</v>
          </cell>
          <cell r="H2128" t="str">
            <v>X</v>
          </cell>
        </row>
        <row r="2129">
          <cell r="F2129" t="str">
            <v>PoE Switch HUB</v>
          </cell>
          <cell r="H2129" t="str">
            <v>X</v>
          </cell>
        </row>
        <row r="2130">
          <cell r="F2130" t="str">
            <v>Network  Video Recorder (NVR) Kapasitas 32 Chanel</v>
          </cell>
          <cell r="H2130" t="str">
            <v>X</v>
          </cell>
        </row>
        <row r="2131">
          <cell r="F2131" t="str">
            <v xml:space="preserve">8 TB Hardisk </v>
          </cell>
          <cell r="H2131" t="str">
            <v>X</v>
          </cell>
        </row>
        <row r="2132">
          <cell r="F2132" t="str">
            <v xml:space="preserve">Rak 19" 12 U Lengkap dengan Power Outlet </v>
          </cell>
          <cell r="H2132" t="str">
            <v>X</v>
          </cell>
        </row>
        <row r="2133">
          <cell r="F2133" t="str">
            <v>LCD Monitor 32"</v>
          </cell>
          <cell r="H2133" t="str">
            <v>X</v>
          </cell>
        </row>
        <row r="2134">
          <cell r="F2134" t="str">
            <v>Bracket Monitor 32"</v>
          </cell>
          <cell r="H2134" t="str">
            <v>X</v>
          </cell>
        </row>
        <row r="2135">
          <cell r="F2135" t="str">
            <v>LCD Monitor 50"</v>
          </cell>
          <cell r="H2135" t="str">
            <v>X</v>
          </cell>
        </row>
        <row r="2136">
          <cell r="F2136" t="str">
            <v>Bracket Monitor 50"</v>
          </cell>
          <cell r="H2136" t="str">
            <v>X</v>
          </cell>
        </row>
        <row r="2137">
          <cell r="F2137" t="str">
            <v xml:space="preserve">Keyboard + Mouse </v>
          </cell>
          <cell r="H2137" t="str">
            <v>X</v>
          </cell>
        </row>
        <row r="2138">
          <cell r="F2138" t="str">
            <v xml:space="preserve">Indoor Fix Dome IP Camera </v>
          </cell>
          <cell r="H2138" t="str">
            <v>X</v>
          </cell>
        </row>
        <row r="2139">
          <cell r="F2139" t="str">
            <v xml:space="preserve">Outdoor Fix Dome IP Camera </v>
          </cell>
          <cell r="G2139" t="str">
            <v>Buah</v>
          </cell>
          <cell r="H2139">
            <v>548900</v>
          </cell>
        </row>
        <row r="2140">
          <cell r="F2140" t="str">
            <v>MDF-SS</v>
          </cell>
          <cell r="H2140" t="str">
            <v>X</v>
          </cell>
        </row>
        <row r="2141">
          <cell r="F2141" t="str">
            <v>Selector Switch c/w Control Panel</v>
          </cell>
          <cell r="H2141" t="str">
            <v>X</v>
          </cell>
        </row>
        <row r="2142">
          <cell r="F2142" t="str">
            <v>Power Amplifier 360 Watt</v>
          </cell>
          <cell r="H2142" t="str">
            <v>X</v>
          </cell>
        </row>
        <row r="2143">
          <cell r="F2143" t="str">
            <v>Power Amplifier 240 Watt</v>
          </cell>
          <cell r="G2143" t="str">
            <v>Buah</v>
          </cell>
          <cell r="H2143">
            <v>4760600</v>
          </cell>
        </row>
        <row r="2144">
          <cell r="F2144" t="str">
            <v>Power Amplifier 120 Watt</v>
          </cell>
          <cell r="H2144" t="str">
            <v>X</v>
          </cell>
        </row>
        <row r="2145">
          <cell r="F2145" t="str">
            <v>System Controller (Mixer Pre Amp + Equalizer)</v>
          </cell>
          <cell r="H2145" t="str">
            <v>X</v>
          </cell>
        </row>
        <row r="2146">
          <cell r="F2146" t="str">
            <v>VCD/DVD/MP3/Mp4</v>
          </cell>
          <cell r="H2146" t="str">
            <v>X</v>
          </cell>
        </row>
        <row r="2147">
          <cell r="F2147" t="str">
            <v>Automatic Alarm System</v>
          </cell>
          <cell r="G2147" t="str">
            <v xml:space="preserve">unit </v>
          </cell>
          <cell r="H2147" t="str">
            <v>X</v>
          </cell>
        </row>
        <row r="2148">
          <cell r="F2148" t="str">
            <v>Paging Mic Keypad</v>
          </cell>
          <cell r="H2148" t="str">
            <v>X</v>
          </cell>
        </row>
        <row r="2149">
          <cell r="F2149" t="str">
            <v xml:space="preserve">UPS 1 KVA 4 Jam </v>
          </cell>
          <cell r="H2149" t="str">
            <v>X</v>
          </cell>
        </row>
        <row r="2150">
          <cell r="F2150" t="str">
            <v>Rack Cabinet</v>
          </cell>
          <cell r="G2150" t="str">
            <v>Buah</v>
          </cell>
          <cell r="H2150">
            <v>8485100</v>
          </cell>
        </row>
        <row r="2151">
          <cell r="F2151" t="str">
            <v>Terminal Box Tata Suara (TBTS)</v>
          </cell>
          <cell r="H2151" t="str">
            <v>X</v>
          </cell>
        </row>
        <row r="2152">
          <cell r="F2152" t="str">
            <v>Ceiling Speaker</v>
          </cell>
          <cell r="G2152" t="str">
            <v>Buah</v>
          </cell>
          <cell r="H2152">
            <v>294800</v>
          </cell>
        </row>
        <row r="2153">
          <cell r="F2153" t="str">
            <v>Wall Speaker</v>
          </cell>
          <cell r="H2153" t="str">
            <v>X</v>
          </cell>
        </row>
        <row r="2154">
          <cell r="F2154" t="str">
            <v>Horn Speaker</v>
          </cell>
          <cell r="H2154" t="str">
            <v>X</v>
          </cell>
        </row>
        <row r="2155">
          <cell r="F2155" t="str">
            <v xml:space="preserve">Tiang </v>
          </cell>
          <cell r="G2155" t="str">
            <v>m'</v>
          </cell>
          <cell r="H2155" t="str">
            <v>X</v>
          </cell>
        </row>
        <row r="2156">
          <cell r="F2156" t="str">
            <v>MDF 2 x 8 Pair</v>
          </cell>
          <cell r="G2156" t="str">
            <v>Unit</v>
          </cell>
          <cell r="H2156" t="str">
            <v>X</v>
          </cell>
        </row>
        <row r="2157">
          <cell r="F2157" t="str">
            <v>MDF 2 x 10 Pair</v>
          </cell>
          <cell r="G2157" t="str">
            <v>Unit</v>
          </cell>
          <cell r="H2157" t="str">
            <v>X</v>
          </cell>
        </row>
        <row r="2158">
          <cell r="F2158" t="str">
            <v xml:space="preserve">Pemasangan 1 Unit PABX Kap: 1 Line 10 Extension </v>
          </cell>
          <cell r="G2158" t="str">
            <v xml:space="preserve">Unit </v>
          </cell>
          <cell r="H2158" t="str">
            <v>X</v>
          </cell>
        </row>
        <row r="2159">
          <cell r="F2159" t="str">
            <v xml:space="preserve">Pemasangan 1 Unit PABX Kap: 1 Line 8 Extension </v>
          </cell>
          <cell r="G2159" t="str">
            <v xml:space="preserve">Unit </v>
          </cell>
          <cell r="H2159" t="str">
            <v>X</v>
          </cell>
        </row>
        <row r="2160">
          <cell r="F2160" t="str">
            <v>Terminal Box Telepon</v>
          </cell>
          <cell r="H2160" t="str">
            <v>X</v>
          </cell>
        </row>
        <row r="2161">
          <cell r="F2161" t="str">
            <v>Outlet Telepon</v>
          </cell>
          <cell r="G2161" t="str">
            <v xml:space="preserve">unit </v>
          </cell>
          <cell r="H2161" t="str">
            <v>X</v>
          </cell>
        </row>
        <row r="2162">
          <cell r="F2162" t="str">
            <v>Server / Gateway c/w PC, Monitor, Keyboard, Mouse</v>
          </cell>
          <cell r="G2162" t="str">
            <v xml:space="preserve">Unit </v>
          </cell>
          <cell r="H2162" t="str">
            <v>X</v>
          </cell>
        </row>
        <row r="2163">
          <cell r="F2163" t="str">
            <v>Main Switch HUB 24 Port</v>
          </cell>
          <cell r="G2163" t="str">
            <v>unit</v>
          </cell>
          <cell r="H2163" t="str">
            <v>X</v>
          </cell>
        </row>
        <row r="2164">
          <cell r="F2164" t="str">
            <v>Main Switch HUB 12 Port</v>
          </cell>
          <cell r="G2164" t="str">
            <v>unit</v>
          </cell>
          <cell r="H2164" t="str">
            <v>X</v>
          </cell>
        </row>
        <row r="2165">
          <cell r="F2165" t="str">
            <v>Router Broadband</v>
          </cell>
          <cell r="H2165" t="str">
            <v>X</v>
          </cell>
        </row>
        <row r="2166">
          <cell r="F2166" t="str">
            <v>Fire Wall + Anti Virus</v>
          </cell>
          <cell r="H2166" t="str">
            <v>X</v>
          </cell>
        </row>
        <row r="2167">
          <cell r="F2167" t="str">
            <v>Outlet Data</v>
          </cell>
          <cell r="H2167" t="str">
            <v>X</v>
          </cell>
        </row>
        <row r="2168">
          <cell r="F2168" t="str">
            <v>Patch Cord</v>
          </cell>
          <cell r="H2168" t="str">
            <v>X</v>
          </cell>
        </row>
        <row r="2169">
          <cell r="F2169" t="str">
            <v>Patch Panel 24 Port</v>
          </cell>
          <cell r="H2169" t="str">
            <v>X</v>
          </cell>
        </row>
        <row r="2170">
          <cell r="F2170" t="str">
            <v>Wifi Access Point (Wifi 6 Radius 50 M)</v>
          </cell>
          <cell r="H2170" t="str">
            <v>X</v>
          </cell>
        </row>
        <row r="2171">
          <cell r="F2171" t="str">
            <v>Switch Hub 8 Port</v>
          </cell>
          <cell r="H2171" t="str">
            <v>X</v>
          </cell>
        </row>
        <row r="2172">
          <cell r="F2172" t="str">
            <v xml:space="preserve">Media Converter </v>
          </cell>
          <cell r="H2172" t="str">
            <v>X</v>
          </cell>
        </row>
        <row r="2173">
          <cell r="F2173" t="str">
            <v xml:space="preserve">OTB </v>
          </cell>
          <cell r="H2173" t="str">
            <v>X</v>
          </cell>
        </row>
        <row r="2174">
          <cell r="F2174" t="str">
            <v>Touch Screen Panel 7"</v>
          </cell>
          <cell r="H2174" t="str">
            <v>X</v>
          </cell>
        </row>
        <row r="2175">
          <cell r="F2175" t="str">
            <v>Touch Screen Panel 10"</v>
          </cell>
          <cell r="H2175" t="str">
            <v>X</v>
          </cell>
        </row>
        <row r="2176">
          <cell r="F2176" t="str">
            <v>Touch Screen Panel 12"</v>
          </cell>
          <cell r="H2176" t="str">
            <v>X</v>
          </cell>
        </row>
        <row r="2177">
          <cell r="F2177" t="str">
            <v>Touch Screen Panel 14"</v>
          </cell>
          <cell r="H2177" t="str">
            <v>X</v>
          </cell>
        </row>
        <row r="2178">
          <cell r="F2178" t="str">
            <v>Wall Mounted Rack 15U</v>
          </cell>
          <cell r="H2178" t="str">
            <v>X</v>
          </cell>
        </row>
        <row r="2179">
          <cell r="F2179" t="str">
            <v>Workstation, Meja+Kursi</v>
          </cell>
          <cell r="H2179" t="str">
            <v>X</v>
          </cell>
        </row>
        <row r="2180">
          <cell r="F2180" t="str">
            <v xml:space="preserve">Connector </v>
          </cell>
          <cell r="H2180" t="str">
            <v>X</v>
          </cell>
        </row>
        <row r="2181">
          <cell r="F2181" t="str">
            <v>Splitter TV 6 Port</v>
          </cell>
          <cell r="H2181" t="str">
            <v>X</v>
          </cell>
        </row>
        <row r="2182">
          <cell r="F2182" t="str">
            <v>Splitter TV 7 Port</v>
          </cell>
          <cell r="H2182" t="str">
            <v>X</v>
          </cell>
        </row>
        <row r="2183">
          <cell r="F2183" t="str">
            <v>Terminal Bocx TV</v>
          </cell>
          <cell r="H2183" t="str">
            <v>X</v>
          </cell>
        </row>
        <row r="2184">
          <cell r="F2184" t="str">
            <v>Antena UHF</v>
          </cell>
          <cell r="H2184">
            <v>43300</v>
          </cell>
        </row>
        <row r="2185">
          <cell r="F2185" t="str">
            <v>Antena VHF</v>
          </cell>
          <cell r="H2185" t="str">
            <v>X</v>
          </cell>
        </row>
        <row r="2186">
          <cell r="F2186" t="str">
            <v>AC Wall Mounted Kap : 5.000 BTUH (1/2 PK)</v>
          </cell>
          <cell r="H2186" t="str">
            <v>X</v>
          </cell>
        </row>
        <row r="2187">
          <cell r="F2187" t="str">
            <v>AC Wall Mounted Kap : 6.500 BTUH</v>
          </cell>
          <cell r="H2187" t="str">
            <v>X</v>
          </cell>
        </row>
        <row r="2188">
          <cell r="F2188" t="str">
            <v>AC Wall Mounted Kap : 7.000 BTUH (3/4 PK)</v>
          </cell>
          <cell r="H2188" t="str">
            <v>X</v>
          </cell>
        </row>
        <row r="2189">
          <cell r="F2189" t="str">
            <v>AC Wall Mounted Kap : 9.000 BTUH (1 PK)</v>
          </cell>
          <cell r="H2189">
            <v>7139900</v>
          </cell>
        </row>
        <row r="2190">
          <cell r="F2190" t="str">
            <v>AC Wall Mounted Kap : 12.000 BTUH (1,5 PK)</v>
          </cell>
          <cell r="H2190">
            <v>7734000</v>
          </cell>
        </row>
        <row r="2191">
          <cell r="F2191" t="str">
            <v>AC Wall Mounted Kap : 24.000 BTUH (2,5 PK)</v>
          </cell>
          <cell r="H2191">
            <v>13206500</v>
          </cell>
        </row>
        <row r="2192">
          <cell r="F2192" t="str">
            <v>AC Wall Mounted Kap : 35.000 BTUH (4 PK)</v>
          </cell>
          <cell r="H2192" t="str">
            <v>X</v>
          </cell>
        </row>
        <row r="2193">
          <cell r="F2193" t="str">
            <v>Ceiling Fan, 50 CFM</v>
          </cell>
          <cell r="H2193" t="str">
            <v>X</v>
          </cell>
        </row>
        <row r="2194">
          <cell r="F2194" t="str">
            <v>Ceiling Fan, 75 CFM</v>
          </cell>
          <cell r="H2194" t="str">
            <v>X</v>
          </cell>
        </row>
        <row r="2195">
          <cell r="F2195" t="str">
            <v>Ceiling Fan, 100 CFM</v>
          </cell>
          <cell r="H2195" t="str">
            <v>X</v>
          </cell>
        </row>
        <row r="2196">
          <cell r="F2196" t="str">
            <v>Ceiling Fan, 200 CFM</v>
          </cell>
          <cell r="H2196" t="str">
            <v>X</v>
          </cell>
        </row>
        <row r="2197">
          <cell r="F2197" t="str">
            <v>Inline  Fan, 500 CFM</v>
          </cell>
          <cell r="H2197" t="str">
            <v>X</v>
          </cell>
        </row>
        <row r="2198">
          <cell r="F2198" t="str">
            <v>Inline  Fan, 700 CFM</v>
          </cell>
          <cell r="H2198" t="str">
            <v>X</v>
          </cell>
        </row>
        <row r="2199">
          <cell r="F2199" t="str">
            <v>Axial Fan ; 2.600 CFM</v>
          </cell>
          <cell r="H2199" t="str">
            <v>X</v>
          </cell>
        </row>
        <row r="2200">
          <cell r="F2200" t="str">
            <v>Axial Fan ; 2.800 CFM</v>
          </cell>
          <cell r="H2200" t="str">
            <v>X</v>
          </cell>
        </row>
        <row r="2201">
          <cell r="F2201" t="str">
            <v>Axial Fan ; 3.200 CFM</v>
          </cell>
          <cell r="H2201" t="str">
            <v>X</v>
          </cell>
        </row>
        <row r="2202">
          <cell r="F2202" t="str">
            <v>Axial Fan ; 3.500 CFM</v>
          </cell>
          <cell r="H2202" t="str">
            <v>X</v>
          </cell>
        </row>
        <row r="2203">
          <cell r="F2203" t="str">
            <v>Axial Fan ; 4.000 CFM</v>
          </cell>
          <cell r="H2203" t="str">
            <v>X</v>
          </cell>
        </row>
        <row r="2204">
          <cell r="F2204" t="str">
            <v>Axial Fan ; 5.500 CFM</v>
          </cell>
          <cell r="H2204" t="str">
            <v>X</v>
          </cell>
        </row>
        <row r="2205">
          <cell r="F2205" t="str">
            <v>Rotary Fan</v>
          </cell>
          <cell r="H2205" t="str">
            <v>X</v>
          </cell>
        </row>
        <row r="2206">
          <cell r="F2206" t="str">
            <v>Ceiling Fan Rotary</v>
          </cell>
          <cell r="H2206" t="str">
            <v>X</v>
          </cell>
        </row>
        <row r="2207">
          <cell r="F2207" t="str">
            <v>Bifurcated Fan; 1.500 CFM</v>
          </cell>
          <cell r="H2207" t="str">
            <v>X</v>
          </cell>
        </row>
        <row r="2208">
          <cell r="F2208" t="str">
            <v>Propeller Fan, 75 CFM</v>
          </cell>
          <cell r="H2208" t="str">
            <v>X</v>
          </cell>
        </row>
        <row r="2209">
          <cell r="F2209" t="str">
            <v>Propeller Fan, 100 CFM</v>
          </cell>
          <cell r="H2209" t="str">
            <v>X</v>
          </cell>
        </row>
        <row r="2210">
          <cell r="F2210" t="str">
            <v>Propeller Fan, 150 CFM</v>
          </cell>
          <cell r="H2210" t="str">
            <v>X</v>
          </cell>
        </row>
        <row r="2211">
          <cell r="F2211" t="str">
            <v>Propeller Fan, 370 CFM</v>
          </cell>
          <cell r="H2211" t="str">
            <v>X</v>
          </cell>
        </row>
        <row r="2212">
          <cell r="F2212" t="str">
            <v>Propeller Fan, 375 CFM</v>
          </cell>
          <cell r="H2212" t="str">
            <v>X</v>
          </cell>
        </row>
        <row r="2213">
          <cell r="F2213" t="str">
            <v>Propeller Fan, 500 CFM</v>
          </cell>
          <cell r="H2213" t="str">
            <v>X</v>
          </cell>
        </row>
        <row r="2214">
          <cell r="F2214" t="str">
            <v>Propeller Fan, 600 CFM</v>
          </cell>
          <cell r="H2214" t="str">
            <v>X</v>
          </cell>
        </row>
        <row r="2215">
          <cell r="F2215" t="str">
            <v>Propeller Fan, 1200 CFM</v>
          </cell>
          <cell r="H2215" t="str">
            <v>X</v>
          </cell>
        </row>
        <row r="2216">
          <cell r="F2216" t="str">
            <v>Intake Grille 600 x 300 mm</v>
          </cell>
          <cell r="H2216" t="str">
            <v>X</v>
          </cell>
        </row>
        <row r="2217">
          <cell r="F2217" t="str">
            <v>Intake Grille 650 x 350 mm</v>
          </cell>
          <cell r="H2217" t="str">
            <v>X</v>
          </cell>
        </row>
        <row r="2218">
          <cell r="F2218" t="str">
            <v>Intake Grille 800 x 350 mm</v>
          </cell>
          <cell r="H2218" t="str">
            <v>X</v>
          </cell>
        </row>
        <row r="2219">
          <cell r="F2219" t="str">
            <v>Intake Grille 800 x 400 mm</v>
          </cell>
          <cell r="H2219" t="str">
            <v>X</v>
          </cell>
        </row>
        <row r="2220">
          <cell r="F2220" t="str">
            <v xml:space="preserve"> Intake Louvre 700 x 400 mm</v>
          </cell>
          <cell r="H2220" t="str">
            <v>X</v>
          </cell>
        </row>
        <row r="2221">
          <cell r="F2221" t="str">
            <v xml:space="preserve"> Fan Louvre 750 x 400 mm</v>
          </cell>
          <cell r="H2221" t="str">
            <v>X</v>
          </cell>
        </row>
        <row r="2222">
          <cell r="F2222" t="str">
            <v xml:space="preserve"> Fan Louvre 900 x 500 mm</v>
          </cell>
          <cell r="H2222" t="str">
            <v>X</v>
          </cell>
        </row>
        <row r="2223">
          <cell r="F2223" t="str">
            <v xml:space="preserve"> Fan Louvre 1.000 x 400 mm</v>
          </cell>
          <cell r="H2223" t="str">
            <v>X</v>
          </cell>
        </row>
        <row r="2224">
          <cell r="F2224" t="str">
            <v xml:space="preserve"> Fan Louvre 1.000 x 450 mm</v>
          </cell>
          <cell r="H2224" t="str">
            <v>X</v>
          </cell>
        </row>
        <row r="2225">
          <cell r="F2225" t="str">
            <v>Exhaust Grille 150 x 150 mm</v>
          </cell>
          <cell r="H2225" t="str">
            <v>X</v>
          </cell>
        </row>
        <row r="2226">
          <cell r="F2226" t="str">
            <v>Exhaust Grille 200 x 200 mm</v>
          </cell>
          <cell r="H2226" t="str">
            <v>X</v>
          </cell>
        </row>
        <row r="2227">
          <cell r="F2227" t="str">
            <v>Exhaust Grille 600 x 300 mm</v>
          </cell>
          <cell r="H2227" t="str">
            <v>X</v>
          </cell>
        </row>
        <row r="2228">
          <cell r="F2228" t="str">
            <v>Exhaust Grille 650 x 350 mm</v>
          </cell>
          <cell r="H2228" t="str">
            <v>X</v>
          </cell>
        </row>
        <row r="2229">
          <cell r="F2229" t="str">
            <v>Exhaust Grille 900 x 400 mm</v>
          </cell>
          <cell r="H2229" t="str">
            <v>X</v>
          </cell>
        </row>
        <row r="2230">
          <cell r="F2230" t="str">
            <v>Exhaust Louvre</v>
          </cell>
          <cell r="H2230" t="str">
            <v>X</v>
          </cell>
        </row>
        <row r="2231">
          <cell r="F2231" t="str">
            <v xml:space="preserve">ZINK BJLS </v>
          </cell>
          <cell r="H2231" t="str">
            <v>X</v>
          </cell>
        </row>
        <row r="2232">
          <cell r="F2232" t="str">
            <v xml:space="preserve">Flinkote </v>
          </cell>
          <cell r="G2232" t="str">
            <v xml:space="preserve">lot </v>
          </cell>
          <cell r="H2232" t="str">
            <v>X</v>
          </cell>
        </row>
        <row r="2233">
          <cell r="F2233" t="str">
            <v xml:space="preserve">finish Cat </v>
          </cell>
          <cell r="G2233" t="str">
            <v xml:space="preserve">lot </v>
          </cell>
          <cell r="H2233" t="str">
            <v>X</v>
          </cell>
        </row>
        <row r="2234">
          <cell r="F2234" t="str">
            <v>Hanger + Support</v>
          </cell>
          <cell r="G2234" t="str">
            <v xml:space="preserve">lolt </v>
          </cell>
          <cell r="H2234" t="str">
            <v>X</v>
          </cell>
        </row>
        <row r="2235">
          <cell r="H2235" t="str">
            <v>X</v>
          </cell>
        </row>
        <row r="2236">
          <cell r="H2236" t="str">
            <v>X</v>
          </cell>
        </row>
        <row r="2237">
          <cell r="F2237" t="str">
            <v>Bak Kontrol Pemeriksaan dari Batu Bata 45 x 45 x 45 cm + Tutup Beton 45 x 45 x 10 cm</v>
          </cell>
          <cell r="G2237" t="str">
            <v xml:space="preserve">buah </v>
          </cell>
          <cell r="H2237" t="str">
            <v>X</v>
          </cell>
        </row>
        <row r="2238">
          <cell r="F2238" t="str">
            <v>Terminal Busbar 300 x 50 x 5 mm</v>
          </cell>
          <cell r="G2238" t="str">
            <v>buah</v>
          </cell>
          <cell r="H2238" t="str">
            <v>X</v>
          </cell>
        </row>
        <row r="2239">
          <cell r="F2239" t="str">
            <v>Batang Tembaga Pembumian Dia.5/8” (kedalaman min. 12 m)</v>
          </cell>
          <cell r="G2239" t="str">
            <v>batang</v>
          </cell>
          <cell r="H2239" t="str">
            <v>X</v>
          </cell>
        </row>
        <row r="2240">
          <cell r="F2240" t="str">
            <v>Pantek (kedalaman min. 12 m)</v>
          </cell>
          <cell r="G2240" t="str">
            <v>lot</v>
          </cell>
          <cell r="H2240" t="str">
            <v>X</v>
          </cell>
        </row>
        <row r="2241">
          <cell r="F2241" t="str">
            <v>Kabel BC 95 mm2</v>
          </cell>
          <cell r="G2241" t="str">
            <v>m</v>
          </cell>
          <cell r="H2241" t="str">
            <v>X</v>
          </cell>
        </row>
        <row r="2242">
          <cell r="F2242" t="str">
            <v>Kabel Skun 95 mm2</v>
          </cell>
          <cell r="G2242" t="str">
            <v>m</v>
          </cell>
          <cell r="H2242" t="str">
            <v>X</v>
          </cell>
        </row>
        <row r="2243">
          <cell r="F2243" t="str">
            <v>Rod Coupling</v>
          </cell>
          <cell r="G2243" t="str">
            <v>buah</v>
          </cell>
          <cell r="H2243" t="str">
            <v>X</v>
          </cell>
        </row>
        <row r="2244">
          <cell r="F2244" t="str">
            <v>Material Bantu</v>
          </cell>
          <cell r="G2244" t="str">
            <v>lot</v>
          </cell>
          <cell r="H2244" t="str">
            <v>X</v>
          </cell>
        </row>
        <row r="2245">
          <cell r="F2245" t="str">
            <v>Batang Tembaga Pembumian Dia.3/4” (kedalaman min. 12 m)</v>
          </cell>
          <cell r="G2245" t="str">
            <v>batang</v>
          </cell>
          <cell r="H2245" t="str">
            <v>X</v>
          </cell>
        </row>
        <row r="2246">
          <cell r="F2246" t="str">
            <v xml:space="preserve">Air Terminal </v>
          </cell>
          <cell r="G2246" t="str">
            <v>unit</v>
          </cell>
          <cell r="H2246" t="str">
            <v>X</v>
          </cell>
        </row>
        <row r="2247">
          <cell r="F2247" t="str">
            <v xml:space="preserve">Base Air Terminal </v>
          </cell>
          <cell r="G2247" t="str">
            <v xml:space="preserve">unit </v>
          </cell>
          <cell r="H2247" t="str">
            <v>X</v>
          </cell>
        </row>
        <row r="2248">
          <cell r="F2248" t="str">
            <v xml:space="preserve">DC Clip Non Metalic Clamp </v>
          </cell>
          <cell r="G2248" t="str">
            <v>unit</v>
          </cell>
          <cell r="H2248" t="str">
            <v>X</v>
          </cell>
        </row>
        <row r="2249">
          <cell r="F2249" t="str">
            <v>Square Tape Clamp</v>
          </cell>
          <cell r="G2249" t="str">
            <v>unit</v>
          </cell>
          <cell r="H2249">
            <v>105000</v>
          </cell>
        </row>
        <row r="2250">
          <cell r="F2250" t="str">
            <v xml:space="preserve">Bimetallic Connector </v>
          </cell>
          <cell r="G2250" t="str">
            <v xml:space="preserve">unit </v>
          </cell>
          <cell r="H2250" t="str">
            <v>X</v>
          </cell>
        </row>
        <row r="2251">
          <cell r="F2251" t="str">
            <v>Grounding Test Box</v>
          </cell>
          <cell r="G2251" t="str">
            <v>unit</v>
          </cell>
          <cell r="H2251" t="str">
            <v>X</v>
          </cell>
        </row>
        <row r="2252">
          <cell r="F2252" t="str">
            <v xml:space="preserve">5/8" Rod Coupling </v>
          </cell>
          <cell r="G2252" t="str">
            <v xml:space="preserve">unit </v>
          </cell>
          <cell r="H2252" t="str">
            <v>X</v>
          </cell>
        </row>
        <row r="2253">
          <cell r="F2253" t="str">
            <v xml:space="preserve">5/8" Driving Stud </v>
          </cell>
          <cell r="G2253" t="str">
            <v>unit</v>
          </cell>
          <cell r="H2253" t="str">
            <v>X</v>
          </cell>
        </row>
        <row r="2254">
          <cell r="F2254" t="str">
            <v>Rod to Cable Clamp (Type GUV)</v>
          </cell>
          <cell r="G2254" t="str">
            <v xml:space="preserve">unit </v>
          </cell>
          <cell r="H2254" t="str">
            <v>X</v>
          </cell>
        </row>
        <row r="2255">
          <cell r="F2255" t="str">
            <v>Polymer Inspection Pit</v>
          </cell>
          <cell r="G2255" t="str">
            <v>unit</v>
          </cell>
          <cell r="H2255" t="str">
            <v>X</v>
          </cell>
        </row>
        <row r="2256">
          <cell r="F2256" t="str">
            <v>Coupling Bonding Grounded Rod 70 mm2</v>
          </cell>
          <cell r="G2256" t="str">
            <v xml:space="preserve">unit </v>
          </cell>
          <cell r="H2256" t="str">
            <v>X</v>
          </cell>
        </row>
        <row r="2257">
          <cell r="F2257" t="str">
            <v>Clamp BC L ukuran BC 70 mm2</v>
          </cell>
          <cell r="G2257" t="str">
            <v xml:space="preserve">unit </v>
          </cell>
          <cell r="H2257" t="str">
            <v>X</v>
          </cell>
        </row>
        <row r="2258">
          <cell r="F2258" t="str">
            <v>Clamp PVC 1"</v>
          </cell>
          <cell r="G2258" t="str">
            <v xml:space="preserve">unit </v>
          </cell>
          <cell r="H2258">
            <v>2270700</v>
          </cell>
        </row>
        <row r="2259">
          <cell r="F2259" t="str">
            <v xml:space="preserve">Copper Air Terminal Base 15 mm </v>
          </cell>
          <cell r="H2259" t="str">
            <v>X</v>
          </cell>
        </row>
        <row r="2260">
          <cell r="F2260" t="str">
            <v xml:space="preserve">15x500 mm Aluminium Air Rod </v>
          </cell>
          <cell r="H2260" t="str">
            <v>X</v>
          </cell>
        </row>
        <row r="2261">
          <cell r="F2261" t="str">
            <v xml:space="preserve">15x500 mm Copper Air Rod </v>
          </cell>
          <cell r="H2261" t="str">
            <v>X</v>
          </cell>
        </row>
        <row r="2262">
          <cell r="F2262" t="str">
            <v>25x3 mm Bare Aluminium Tape</v>
          </cell>
          <cell r="G2262" t="str">
            <v>m'</v>
          </cell>
          <cell r="H2262" t="str">
            <v>X</v>
          </cell>
        </row>
        <row r="2263">
          <cell r="F2263" t="str">
            <v xml:space="preserve">5/8" x 1800 mm Extensible Copperbond Rod </v>
          </cell>
          <cell r="G2263" t="str">
            <v xml:space="preserve">buah </v>
          </cell>
          <cell r="H2263" t="str">
            <v>X</v>
          </cell>
        </row>
        <row r="2264">
          <cell r="F2264" t="str">
            <v xml:space="preserve">5/8" Copperbond Rod </v>
          </cell>
          <cell r="G2264" t="str">
            <v xml:space="preserve">buah </v>
          </cell>
          <cell r="H2264" t="str">
            <v>X</v>
          </cell>
        </row>
        <row r="2265">
          <cell r="F2265" t="str">
            <v xml:space="preserve">Grounding Rod Gip 1" Panjang 1 m </v>
          </cell>
          <cell r="G2265" t="str">
            <v>buah</v>
          </cell>
          <cell r="H2265" t="str">
            <v>X</v>
          </cell>
        </row>
        <row r="2266">
          <cell r="F2266" t="str">
            <v xml:space="preserve">Grounding Rod Gip 1" Panjang 2 m </v>
          </cell>
          <cell r="G2266" t="str">
            <v>buah</v>
          </cell>
          <cell r="H2266" t="str">
            <v>X</v>
          </cell>
        </row>
        <row r="2267">
          <cell r="F2267" t="str">
            <v>Exothermic Welding</v>
          </cell>
          <cell r="G2267" t="str">
            <v xml:space="preserve">buah </v>
          </cell>
          <cell r="H2267" t="str">
            <v>X</v>
          </cell>
        </row>
        <row r="2268">
          <cell r="F2268" t="str">
            <v>Surge Arrester 1 Phase (15 KA)</v>
          </cell>
          <cell r="G2268" t="str">
            <v xml:space="preserve">unit </v>
          </cell>
          <cell r="H2268" t="str">
            <v>X</v>
          </cell>
        </row>
        <row r="2269">
          <cell r="F2269" t="str">
            <v>Surge Arrester 3 Phase (15 KA)</v>
          </cell>
          <cell r="G2269" t="str">
            <v xml:space="preserve">unit </v>
          </cell>
          <cell r="H2269" t="str">
            <v>X</v>
          </cell>
        </row>
        <row r="2270">
          <cell r="H2270" t="str">
            <v>X</v>
          </cell>
        </row>
        <row r="2271">
          <cell r="F2271" t="str">
            <v>Air</v>
          </cell>
          <cell r="G2271" t="str">
            <v>liter</v>
          </cell>
          <cell r="H2271">
            <v>650</v>
          </cell>
        </row>
        <row r="2272">
          <cell r="F2272" t="str">
            <v>Banner plastik 0.6x0.8 m2</v>
          </cell>
          <cell r="G2272" t="str">
            <v>m2</v>
          </cell>
          <cell r="H2272">
            <v>35500</v>
          </cell>
        </row>
        <row r="2273">
          <cell r="F2273" t="str">
            <v>Air (m3)</v>
          </cell>
          <cell r="G2273" t="str">
            <v>m3</v>
          </cell>
          <cell r="H2273">
            <v>643100</v>
          </cell>
        </row>
        <row r="2274">
          <cell r="F2274" t="str">
            <v>Akrilik 4 mm</v>
          </cell>
          <cell r="G2274" t="str">
            <v>m2</v>
          </cell>
          <cell r="H2274" t="str">
            <v>X</v>
          </cell>
        </row>
        <row r="2275">
          <cell r="F2275" t="str">
            <v>Alang-alang</v>
          </cell>
          <cell r="G2275" t="str">
            <v>ikat</v>
          </cell>
          <cell r="H2275">
            <v>149100</v>
          </cell>
        </row>
        <row r="2276">
          <cell r="F2276" t="str">
            <v>Alat  tulis</v>
          </cell>
          <cell r="G2276" t="str">
            <v>buah</v>
          </cell>
          <cell r="H2276" t="str">
            <v>X</v>
          </cell>
        </row>
        <row r="2277">
          <cell r="F2277" t="str">
            <v>Aluminium foil</v>
          </cell>
          <cell r="G2277" t="str">
            <v>m2</v>
          </cell>
          <cell r="H2277">
            <v>36000</v>
          </cell>
        </row>
        <row r="2278">
          <cell r="F2278" t="str">
            <v>Aluminium foil double side</v>
          </cell>
          <cell r="G2278" t="str">
            <v>m2</v>
          </cell>
          <cell r="H2278">
            <v>36000</v>
          </cell>
        </row>
        <row r="2279">
          <cell r="F2279" t="str">
            <v>Amplas</v>
          </cell>
          <cell r="G2279" t="str">
            <v>lembar</v>
          </cell>
          <cell r="H2279">
            <v>8400</v>
          </cell>
        </row>
        <row r="2280">
          <cell r="F2280" t="str">
            <v xml:space="preserve">Baja Profil </v>
          </cell>
          <cell r="G2280" t="str">
            <v>kg</v>
          </cell>
          <cell r="H2280">
            <v>35200</v>
          </cell>
        </row>
        <row r="2281">
          <cell r="F2281" t="str">
            <v>Baja ringan C75 x 0,75 mm</v>
          </cell>
          <cell r="G2281" t="str">
            <v>batang</v>
          </cell>
          <cell r="H2281">
            <v>179700</v>
          </cell>
        </row>
        <row r="2282">
          <cell r="F2282" t="str">
            <v>Baja ringan C75 x 0,75 mm (permeter)</v>
          </cell>
          <cell r="G2282" t="str">
            <v>m</v>
          </cell>
          <cell r="H2282">
            <v>29950</v>
          </cell>
        </row>
        <row r="2283">
          <cell r="F2283" t="str">
            <v>Baja ringan C75 x 0,8 mm</v>
          </cell>
          <cell r="G2283" t="str">
            <v>batang</v>
          </cell>
          <cell r="H2283" t="str">
            <v>X</v>
          </cell>
        </row>
        <row r="2284">
          <cell r="F2284" t="str">
            <v>Baja ringan C75 x 1,00 mm</v>
          </cell>
          <cell r="G2284" t="str">
            <v>batang</v>
          </cell>
          <cell r="H2284" t="str">
            <v>X</v>
          </cell>
        </row>
        <row r="2285">
          <cell r="F2285" t="str">
            <v>Baja ringan C75 x 1,00 mm (m)</v>
          </cell>
          <cell r="G2285" t="str">
            <v>m'</v>
          </cell>
          <cell r="H2285" t="str">
            <v>X</v>
          </cell>
        </row>
        <row r="2286">
          <cell r="F2286" t="str">
            <v>Bata Ringan (ukuran 60x20x10 cm)</v>
          </cell>
          <cell r="G2286" t="str">
            <v>m3</v>
          </cell>
          <cell r="H2286">
            <v>896600</v>
          </cell>
        </row>
        <row r="2287">
          <cell r="F2287" t="str">
            <v>Batu Andesit  Bakar 10x10, t=3cm</v>
          </cell>
          <cell r="G2287" t="str">
            <v>Unit</v>
          </cell>
          <cell r="H2287" t="str">
            <v>X</v>
          </cell>
        </row>
        <row r="2288">
          <cell r="F2288" t="str">
            <v>Batu Andesit  Bakar 30x30, t=3cm</v>
          </cell>
          <cell r="G2288" t="str">
            <v>Unit</v>
          </cell>
          <cell r="H2288" t="str">
            <v>X</v>
          </cell>
        </row>
        <row r="2289">
          <cell r="F2289" t="str">
            <v>Batu apung</v>
          </cell>
          <cell r="G2289" t="str">
            <v>kg</v>
          </cell>
          <cell r="H2289">
            <v>23500</v>
          </cell>
        </row>
        <row r="2290">
          <cell r="F2290" t="str">
            <v>Bollard Besi Tempa (BL1)</v>
          </cell>
          <cell r="G2290" t="str">
            <v>unit</v>
          </cell>
          <cell r="H2290" t="str">
            <v>X</v>
          </cell>
        </row>
        <row r="2291">
          <cell r="F2291" t="str">
            <v>Bollard Besi Tempa (BL2)</v>
          </cell>
          <cell r="G2291" t="str">
            <v>unit</v>
          </cell>
          <cell r="H2291" t="str">
            <v>X</v>
          </cell>
        </row>
        <row r="2292">
          <cell r="F2292" t="str">
            <v>Bollard cast  iron (tinggi 1,2m ; Ø bawah 5"  ; Ø atas  4")</v>
          </cell>
          <cell r="G2292" t="str">
            <v>buah</v>
          </cell>
          <cell r="H2292" t="str">
            <v>X</v>
          </cell>
        </row>
        <row r="2293">
          <cell r="F2293" t="str">
            <v>Bollard stainless  steel (tinggi 1m ; Ø 4")</v>
          </cell>
          <cell r="G2293" t="str">
            <v>buah</v>
          </cell>
          <cell r="H2293" t="str">
            <v>X</v>
          </cell>
        </row>
        <row r="2294">
          <cell r="F2294" t="str">
            <v>Bubuk poles</v>
          </cell>
          <cell r="G2294" t="str">
            <v>kg</v>
          </cell>
          <cell r="H2294" t="str">
            <v>X</v>
          </cell>
        </row>
        <row r="2295">
          <cell r="F2295" t="str">
            <v>Aspal</v>
          </cell>
          <cell r="G2295" t="str">
            <v>kg</v>
          </cell>
          <cell r="H2295">
            <v>12600</v>
          </cell>
        </row>
        <row r="2296">
          <cell r="F2296" t="str">
            <v>Coldmix  (Aspal Tambal Dingin) 25 kg</v>
          </cell>
          <cell r="G2296" t="str">
            <v>Zak</v>
          </cell>
          <cell r="H2296">
            <v>97040</v>
          </cell>
        </row>
        <row r="2297">
          <cell r="F2297" t="str">
            <v>Aspal Hotmix</v>
          </cell>
          <cell r="G2297" t="str">
            <v>m2</v>
          </cell>
          <cell r="H2297">
            <v>716250</v>
          </cell>
        </row>
        <row r="2298">
          <cell r="F2298" t="str">
            <v>Aspal Penetrasi</v>
          </cell>
          <cell r="G2298" t="str">
            <v>m2</v>
          </cell>
          <cell r="H2298" t="str">
            <v>X</v>
          </cell>
        </row>
        <row r="2299">
          <cell r="F2299" t="str">
            <v>Cutting sticker</v>
          </cell>
          <cell r="G2299" t="str">
            <v>m2</v>
          </cell>
          <cell r="H2299" t="str">
            <v>X</v>
          </cell>
        </row>
        <row r="2300">
          <cell r="F2300" t="str">
            <v>Epoxy resin grout</v>
          </cell>
          <cell r="G2300" t="str">
            <v>kg</v>
          </cell>
          <cell r="H2300">
            <v>42100</v>
          </cell>
        </row>
        <row r="2301">
          <cell r="F2301" t="str">
            <v>Formika</v>
          </cell>
          <cell r="G2301" t="str">
            <v>lembar</v>
          </cell>
          <cell r="H2301">
            <v>241100</v>
          </cell>
        </row>
        <row r="2302">
          <cell r="F2302" t="str">
            <v>Formika</v>
          </cell>
          <cell r="G2302" t="str">
            <v>lembar</v>
          </cell>
          <cell r="H2302">
            <v>241100</v>
          </cell>
        </row>
        <row r="2303">
          <cell r="F2303" t="str">
            <v>Gebalan Rumput  Jenis  Lamuran</v>
          </cell>
          <cell r="G2303" t="str">
            <v>m²</v>
          </cell>
          <cell r="H2303">
            <v>18300</v>
          </cell>
        </row>
        <row r="2304">
          <cell r="F2304" t="str">
            <v>Glasswool tebal 8 cm</v>
          </cell>
          <cell r="G2304" t="str">
            <v>m2</v>
          </cell>
          <cell r="H2304">
            <v>114700</v>
          </cell>
        </row>
        <row r="2305">
          <cell r="F2305" t="str">
            <v>Guardrail</v>
          </cell>
          <cell r="G2305" t="str">
            <v>m'</v>
          </cell>
          <cell r="H2305" t="str">
            <v>X</v>
          </cell>
        </row>
        <row r="2306">
          <cell r="F2306" t="str">
            <v>Hebel Block (ukuran 60x20x15 cm)</v>
          </cell>
          <cell r="G2306" t="str">
            <v>buah</v>
          </cell>
          <cell r="H2306" t="str">
            <v>X</v>
          </cell>
        </row>
        <row r="2307">
          <cell r="F2307" t="str">
            <v>Huruf/letter timbul stainless  steel</v>
          </cell>
          <cell r="G2307" t="str">
            <v>buah</v>
          </cell>
          <cell r="H2307" t="str">
            <v>X</v>
          </cell>
        </row>
        <row r="2308">
          <cell r="F2308" t="str">
            <v>Ijuk</v>
          </cell>
          <cell r="G2308" t="str">
            <v>kg</v>
          </cell>
          <cell r="H2308">
            <v>35700</v>
          </cell>
        </row>
        <row r="2309">
          <cell r="F2309" t="str">
            <v>Insulasi foam</v>
          </cell>
          <cell r="G2309" t="str">
            <v>m2</v>
          </cell>
          <cell r="H2309">
            <v>404600</v>
          </cell>
        </row>
        <row r="2310">
          <cell r="F2310" t="str">
            <v>Jaringan udara (LVTC  2x15 mm)</v>
          </cell>
          <cell r="G2310" t="str">
            <v>unit</v>
          </cell>
          <cell r="H2310" t="str">
            <v>X</v>
          </cell>
        </row>
        <row r="2311">
          <cell r="F2311" t="str">
            <v>Jendela type J1</v>
          </cell>
          <cell r="G2311" t="str">
            <v>unit</v>
          </cell>
          <cell r="H2311" t="str">
            <v>X</v>
          </cell>
        </row>
        <row r="2312">
          <cell r="F2312" t="str">
            <v>Jendela type J2</v>
          </cell>
          <cell r="G2312" t="str">
            <v>unit</v>
          </cell>
          <cell r="H2312" t="str">
            <v>X</v>
          </cell>
        </row>
        <row r="2313">
          <cell r="F2313" t="str">
            <v>Joint  Sealent</v>
          </cell>
          <cell r="G2313" t="str">
            <v>kg</v>
          </cell>
          <cell r="H2313">
            <v>42600</v>
          </cell>
        </row>
        <row r="2314">
          <cell r="F2314" t="str">
            <v>Kapur</v>
          </cell>
          <cell r="G2314" t="str">
            <v>m3</v>
          </cell>
          <cell r="H2314">
            <v>335100</v>
          </cell>
        </row>
        <row r="2315">
          <cell r="F2315" t="str">
            <v>Kapur padam</v>
          </cell>
          <cell r="G2315" t="str">
            <v>kg</v>
          </cell>
          <cell r="H2315">
            <v>158200</v>
          </cell>
        </row>
        <row r="2316">
          <cell r="F2316" t="str">
            <v>Karung goni</v>
          </cell>
          <cell r="G2316" t="str">
            <v>m2</v>
          </cell>
          <cell r="H2316">
            <v>138800</v>
          </cell>
        </row>
        <row r="2317">
          <cell r="F2317" t="str">
            <v>Karung plastik</v>
          </cell>
          <cell r="G2317" t="str">
            <v>buah</v>
          </cell>
          <cell r="H2317">
            <v>4500</v>
          </cell>
        </row>
        <row r="2318">
          <cell r="F2318" t="str">
            <v>Kisdam (sewa sheet  pile selama 2 bulan)</v>
          </cell>
          <cell r="G2318" t="str">
            <v>batang</v>
          </cell>
          <cell r="H2318" t="str">
            <v>X</v>
          </cell>
        </row>
        <row r="2319">
          <cell r="F2319" t="str">
            <v>Lem Aibon</v>
          </cell>
          <cell r="G2319" t="str">
            <v>kg</v>
          </cell>
          <cell r="H2319" t="str">
            <v>X</v>
          </cell>
        </row>
        <row r="2320">
          <cell r="F2320" t="str">
            <v>Lem epoxy</v>
          </cell>
          <cell r="G2320" t="str">
            <v>kg</v>
          </cell>
          <cell r="H2320">
            <v>160600</v>
          </cell>
        </row>
        <row r="2321">
          <cell r="F2321" t="str">
            <v>Lem kayu</v>
          </cell>
          <cell r="G2321" t="str">
            <v>kg</v>
          </cell>
          <cell r="H2321">
            <v>72100</v>
          </cell>
        </row>
        <row r="2322">
          <cell r="F2322" t="str">
            <v>Lem vinyl</v>
          </cell>
          <cell r="G2322" t="str">
            <v>kg</v>
          </cell>
          <cell r="H2322">
            <v>563000</v>
          </cell>
        </row>
        <row r="2323">
          <cell r="F2323" t="str">
            <v xml:space="preserve">Lem Karpet </v>
          </cell>
          <cell r="G2323" t="str">
            <v>kg</v>
          </cell>
          <cell r="H2323">
            <v>237400</v>
          </cell>
        </row>
        <row r="2324">
          <cell r="F2324" t="str">
            <v>Lethering akrilik tinggi 100 tebal 20 cm</v>
          </cell>
          <cell r="G2324" t="str">
            <v>buah</v>
          </cell>
          <cell r="H2324" t="str">
            <v>X</v>
          </cell>
        </row>
        <row r="2325">
          <cell r="F2325" t="str">
            <v>Lethering akrilik tinggi 25 tebal 5 cm</v>
          </cell>
          <cell r="G2325" t="str">
            <v>buah</v>
          </cell>
          <cell r="H2325" t="str">
            <v>X</v>
          </cell>
        </row>
        <row r="2326">
          <cell r="F2326" t="str">
            <v>Lethering akrilik tinggi 45 tebal 20 cm</v>
          </cell>
          <cell r="G2326" t="str">
            <v>buah</v>
          </cell>
          <cell r="H2326" t="str">
            <v>X</v>
          </cell>
        </row>
        <row r="2327">
          <cell r="F2327" t="str">
            <v>Lethering akrilik tinggi 70 tebal 20 cm</v>
          </cell>
          <cell r="G2327" t="str">
            <v>buah</v>
          </cell>
          <cell r="H2327" t="str">
            <v>X</v>
          </cell>
        </row>
        <row r="2328">
          <cell r="F2328" t="str">
            <v>Lis  profil beton (50 cm)</v>
          </cell>
          <cell r="G2328" t="str">
            <v>buah</v>
          </cell>
          <cell r="H2328" t="str">
            <v>X</v>
          </cell>
        </row>
        <row r="2329">
          <cell r="F2329" t="str">
            <v>Mortar Acian Bata Ringan</v>
          </cell>
          <cell r="G2329" t="str">
            <v>zak</v>
          </cell>
          <cell r="H2329" t="str">
            <v>X</v>
          </cell>
        </row>
        <row r="2330">
          <cell r="F2330" t="str">
            <v>Mortar Perekat  Bata Ringan</v>
          </cell>
          <cell r="G2330" t="str">
            <v>zak</v>
          </cell>
          <cell r="H2330">
            <v>187800</v>
          </cell>
        </row>
        <row r="2331">
          <cell r="F2331" t="str">
            <v>Mortar Plesteran Bata Ringan</v>
          </cell>
          <cell r="G2331" t="str">
            <v>zak</v>
          </cell>
          <cell r="H2331">
            <v>144600</v>
          </cell>
        </row>
        <row r="2332">
          <cell r="F2332" t="str">
            <v>Mortar siap pakai</v>
          </cell>
          <cell r="G2332" t="str">
            <v>kg</v>
          </cell>
          <cell r="H2332">
            <v>2892</v>
          </cell>
        </row>
        <row r="2333">
          <cell r="F2333" t="str">
            <v>Mortar Skimcoat</v>
          </cell>
          <cell r="G2333" t="str">
            <v>kg</v>
          </cell>
          <cell r="H2333">
            <v>3495</v>
          </cell>
        </row>
        <row r="2334">
          <cell r="F2334" t="str">
            <v>Nako  per daun</v>
          </cell>
          <cell r="G2334" t="str">
            <v>buah</v>
          </cell>
          <cell r="H2334">
            <v>38800</v>
          </cell>
        </row>
        <row r="2335">
          <cell r="F2335" t="str">
            <v>Pasir Ottawa</v>
          </cell>
          <cell r="G2335" t="str">
            <v>Zak</v>
          </cell>
          <cell r="H2335" t="str">
            <v>X</v>
          </cell>
        </row>
        <row r="2336">
          <cell r="F2336" t="str">
            <v>Pemasangan lantai tempered laminated glass  Jemabatan Kaca</v>
          </cell>
          <cell r="G2336" t="str">
            <v>Unit</v>
          </cell>
          <cell r="H2336" t="str">
            <v>X</v>
          </cell>
        </row>
        <row r="2337">
          <cell r="F2337" t="str">
            <v>Pen akrilik</v>
          </cell>
          <cell r="G2337" t="str">
            <v>buah</v>
          </cell>
          <cell r="H2337" t="str">
            <v>X</v>
          </cell>
        </row>
        <row r="2338">
          <cell r="F2338" t="str">
            <v>Perekat untuk  wallpaper</v>
          </cell>
          <cell r="G2338" t="str">
            <v>kg</v>
          </cell>
          <cell r="H2338" t="str">
            <v>X</v>
          </cell>
        </row>
        <row r="2339">
          <cell r="F2339" t="str">
            <v>Pintu lipat  (folding door) bahan plastik/PVC</v>
          </cell>
          <cell r="G2339" t="str">
            <v>m2</v>
          </cell>
          <cell r="H2339">
            <v>1065700</v>
          </cell>
        </row>
        <row r="2340">
          <cell r="F2340" t="str">
            <v>Pintu type P1</v>
          </cell>
          <cell r="G2340" t="str">
            <v>unit</v>
          </cell>
          <cell r="H2340" t="str">
            <v>X</v>
          </cell>
        </row>
        <row r="2341">
          <cell r="F2341" t="str">
            <v>Pipa screen pvc  Ø 4"</v>
          </cell>
          <cell r="G2341" t="str">
            <v>m¹</v>
          </cell>
          <cell r="H2341">
            <v>3533900</v>
          </cell>
        </row>
        <row r="2342">
          <cell r="F2342" t="str">
            <v>Pipa stainless  steel diameter 0,5 "  panjang 6 m</v>
          </cell>
          <cell r="G2342" t="str">
            <v>batang</v>
          </cell>
          <cell r="H2342" t="str">
            <v>X</v>
          </cell>
        </row>
        <row r="2343">
          <cell r="F2343" t="str">
            <v>Pipa stainless  steel diameter 0,75 "  panjang 6 m</v>
          </cell>
          <cell r="G2343" t="str">
            <v>batang</v>
          </cell>
          <cell r="H2343" t="str">
            <v>X</v>
          </cell>
        </row>
        <row r="2344">
          <cell r="F2344" t="str">
            <v>Pipa stainless  steel diameter 1 "  panjang 6 m</v>
          </cell>
          <cell r="G2344" t="str">
            <v>batang</v>
          </cell>
          <cell r="H2344" t="str">
            <v>X</v>
          </cell>
        </row>
        <row r="2345">
          <cell r="F2345" t="str">
            <v>Pipa stainless  steel diameter 1,5 "  panjang 6 m</v>
          </cell>
          <cell r="G2345" t="str">
            <v>batang</v>
          </cell>
          <cell r="H2345" t="str">
            <v>X</v>
          </cell>
        </row>
        <row r="2346">
          <cell r="F2346" t="str">
            <v>Pipa stainless  steel diameter 2 "  panjang 6 m</v>
          </cell>
          <cell r="G2346" t="str">
            <v>batang</v>
          </cell>
          <cell r="H2346" t="str">
            <v>X</v>
          </cell>
        </row>
        <row r="2347">
          <cell r="F2347" t="str">
            <v>Pipa stainless  steel diameter 2,5 "  panjang 6 m</v>
          </cell>
          <cell r="G2347" t="str">
            <v>batang</v>
          </cell>
          <cell r="H2347" t="str">
            <v>X</v>
          </cell>
        </row>
        <row r="2348">
          <cell r="F2348" t="str">
            <v>Pipa stainless  steel diameter 3 "  panjang 6 m</v>
          </cell>
          <cell r="G2348" t="str">
            <v>batang</v>
          </cell>
          <cell r="H2348" t="str">
            <v>X</v>
          </cell>
        </row>
        <row r="2349">
          <cell r="F2349" t="str">
            <v>Plastik aerator</v>
          </cell>
          <cell r="G2349" t="str">
            <v>buah</v>
          </cell>
          <cell r="H2349">
            <v>1600</v>
          </cell>
        </row>
        <row r="2350">
          <cell r="F2350" t="str">
            <v>Plastik Cor</v>
          </cell>
          <cell r="G2350" t="str">
            <v>Buah</v>
          </cell>
          <cell r="H2350">
            <v>3600</v>
          </cell>
        </row>
        <row r="2351">
          <cell r="F2351" t="str">
            <v>Urugan Sirtu</v>
          </cell>
          <cell r="G2351" t="str">
            <v>m3</v>
          </cell>
          <cell r="H2351">
            <v>301900</v>
          </cell>
        </row>
        <row r="2352">
          <cell r="F2352" t="str">
            <v>Prasasti marmer 20x20</v>
          </cell>
          <cell r="G2352" t="str">
            <v>Unit</v>
          </cell>
          <cell r="H2352" t="str">
            <v>X</v>
          </cell>
        </row>
        <row r="2353">
          <cell r="F2353" t="str">
            <v>Ramset</v>
          </cell>
          <cell r="G2353" t="str">
            <v>buah</v>
          </cell>
          <cell r="H2353">
            <v>2200</v>
          </cell>
        </row>
        <row r="2354">
          <cell r="F2354" t="str">
            <v>Recorder paper</v>
          </cell>
          <cell r="G2354" t="str">
            <v>set</v>
          </cell>
          <cell r="H2354" t="str">
            <v>X</v>
          </cell>
        </row>
        <row r="2355">
          <cell r="F2355" t="str">
            <v>Rel pintu dorong</v>
          </cell>
          <cell r="G2355" t="str">
            <v>buah</v>
          </cell>
          <cell r="H2355" t="str">
            <v>X</v>
          </cell>
        </row>
        <row r="2356">
          <cell r="F2356" t="str">
            <v>Reng Baja Ringan R.32</v>
          </cell>
          <cell r="G2356" t="str">
            <v>batang</v>
          </cell>
          <cell r="H2356">
            <v>63200</v>
          </cell>
        </row>
        <row r="2357">
          <cell r="F2357" t="str">
            <v>Reng Baja Ringan R.32 per m'</v>
          </cell>
          <cell r="G2357" t="str">
            <v>m</v>
          </cell>
          <cell r="H2357">
            <v>10533.333333333334</v>
          </cell>
        </row>
        <row r="2358">
          <cell r="F2358" t="str">
            <v>Roster 10 x  20 cm</v>
          </cell>
          <cell r="G2358" t="str">
            <v>buah</v>
          </cell>
          <cell r="H2358" t="str">
            <v>X</v>
          </cell>
        </row>
        <row r="2359">
          <cell r="F2359" t="str">
            <v>Roster 15 x  25 cm</v>
          </cell>
          <cell r="G2359" t="str">
            <v>buah</v>
          </cell>
          <cell r="H2359" t="str">
            <v>X</v>
          </cell>
        </row>
        <row r="2360">
          <cell r="F2360" t="str">
            <v>Roster 15 x  30 cm</v>
          </cell>
          <cell r="G2360" t="str">
            <v>buah</v>
          </cell>
          <cell r="H2360" t="str">
            <v>X</v>
          </cell>
        </row>
        <row r="2361">
          <cell r="F2361" t="str">
            <v>Roster 20 x 20 cm</v>
          </cell>
          <cell r="G2361" t="str">
            <v>buah</v>
          </cell>
          <cell r="H2361" t="str">
            <v>X</v>
          </cell>
        </row>
        <row r="2362">
          <cell r="F2362" t="str">
            <v>Roster 25 x  25 cm</v>
          </cell>
          <cell r="G2362" t="str">
            <v>buah</v>
          </cell>
          <cell r="H2362" t="str">
            <v>X</v>
          </cell>
        </row>
        <row r="2363">
          <cell r="F2363" t="str">
            <v>Roster 30 x  30 cm</v>
          </cell>
          <cell r="G2363" t="str">
            <v>buah</v>
          </cell>
          <cell r="H2363" t="str">
            <v>X</v>
          </cell>
        </row>
        <row r="2364">
          <cell r="F2364" t="str">
            <v>Roster/terawang</v>
          </cell>
          <cell r="G2364" t="str">
            <v>buah</v>
          </cell>
          <cell r="H2364" t="str">
            <v>X</v>
          </cell>
        </row>
        <row r="2365">
          <cell r="F2365" t="str">
            <v>Rumput  sintetis  uk. 1mx1m tebal 2 cm</v>
          </cell>
          <cell r="G2365" t="str">
            <v>buah</v>
          </cell>
          <cell r="H2365" t="str">
            <v>X</v>
          </cell>
        </row>
        <row r="2366">
          <cell r="F2366" t="str">
            <v>Sabun</v>
          </cell>
          <cell r="G2366" t="str">
            <v>Kg</v>
          </cell>
          <cell r="H2366">
            <v>37100</v>
          </cell>
        </row>
        <row r="2367">
          <cell r="F2367" t="str">
            <v>Screen low  carbon</v>
          </cell>
          <cell r="G2367" t="str">
            <v>m¹</v>
          </cell>
          <cell r="H2367">
            <v>1046750</v>
          </cell>
        </row>
        <row r="2368">
          <cell r="F2368" t="str">
            <v>Screen stainless  steel ø  4"</v>
          </cell>
          <cell r="G2368" t="str">
            <v>m¹</v>
          </cell>
          <cell r="H2368" t="str">
            <v>X</v>
          </cell>
        </row>
        <row r="2369">
          <cell r="F2369" t="str">
            <v>Sealant</v>
          </cell>
          <cell r="G2369" t="str">
            <v>tube</v>
          </cell>
          <cell r="H2369">
            <v>62666.666666666672</v>
          </cell>
        </row>
        <row r="2370">
          <cell r="F2370" t="str">
            <v>Sealant</v>
          </cell>
          <cell r="G2370" t="str">
            <v>tube</v>
          </cell>
          <cell r="H2370">
            <v>62666.666666666672</v>
          </cell>
        </row>
        <row r="2371">
          <cell r="F2371" t="str">
            <v>Sealant  kaca</v>
          </cell>
          <cell r="G2371" t="str">
            <v>kg</v>
          </cell>
          <cell r="H2371" t="str">
            <v>X</v>
          </cell>
        </row>
        <row r="2372">
          <cell r="F2372" t="str">
            <v>Sealtape</v>
          </cell>
          <cell r="G2372" t="str">
            <v>buah</v>
          </cell>
          <cell r="H2372">
            <v>8700</v>
          </cell>
        </row>
        <row r="2373">
          <cell r="F2373" t="str">
            <v>Semen Sika</v>
          </cell>
          <cell r="G2373" t="str">
            <v>Zak</v>
          </cell>
          <cell r="H2373" t="str">
            <v>X</v>
          </cell>
        </row>
        <row r="2374">
          <cell r="F2374" t="str">
            <v>Septic  tank pabrikasi 1000 liter</v>
          </cell>
          <cell r="G2374" t="str">
            <v>buah</v>
          </cell>
          <cell r="H2374" t="str">
            <v>X</v>
          </cell>
        </row>
        <row r="2375">
          <cell r="F2375" t="str">
            <v>Septic  tank pabrikasi 1200 liter</v>
          </cell>
          <cell r="G2375" t="str">
            <v>buah</v>
          </cell>
          <cell r="H2375" t="str">
            <v>X</v>
          </cell>
        </row>
        <row r="2376">
          <cell r="F2376" t="str">
            <v>Septic  tank pabrikasi 2000 liter</v>
          </cell>
          <cell r="G2376" t="str">
            <v>buah</v>
          </cell>
          <cell r="H2376" t="str">
            <v>X</v>
          </cell>
        </row>
        <row r="2377">
          <cell r="F2377" t="str">
            <v>Septic  tank pabrikasi 800 liter</v>
          </cell>
          <cell r="G2377" t="str">
            <v>buah</v>
          </cell>
          <cell r="H2377" t="str">
            <v>X</v>
          </cell>
        </row>
        <row r="2378">
          <cell r="F2378" t="str">
            <v>Sesek bambu</v>
          </cell>
          <cell r="G2378" t="str">
            <v>lembar</v>
          </cell>
          <cell r="H2378" t="str">
            <v>X</v>
          </cell>
        </row>
        <row r="2379">
          <cell r="F2379" t="str">
            <v>Signage RMJ</v>
          </cell>
          <cell r="G2379" t="str">
            <v>unit</v>
          </cell>
          <cell r="H2379" t="str">
            <v>X</v>
          </cell>
        </row>
        <row r="2380">
          <cell r="F2380" t="str">
            <v>Signage Plat Baja lengkap dengan accessories</v>
          </cell>
          <cell r="G2380" t="str">
            <v xml:space="preserve">buah </v>
          </cell>
          <cell r="H2380" t="str">
            <v>X</v>
          </cell>
        </row>
        <row r="2381">
          <cell r="F2381" t="str">
            <v>Sitting Group (cast  iron, kayu)</v>
          </cell>
          <cell r="G2381" t="str">
            <v>unit</v>
          </cell>
          <cell r="H2381" t="str">
            <v>X</v>
          </cell>
        </row>
        <row r="2382">
          <cell r="F2382" t="str">
            <v>Skrup fixer</v>
          </cell>
          <cell r="G2382" t="str">
            <v>buah</v>
          </cell>
          <cell r="H2382">
            <v>2900</v>
          </cell>
        </row>
        <row r="2383">
          <cell r="F2383" t="str">
            <v>Soda api</v>
          </cell>
          <cell r="G2383" t="str">
            <v>kg</v>
          </cell>
          <cell r="H2383">
            <v>22600</v>
          </cell>
        </row>
        <row r="2384">
          <cell r="F2384" t="str">
            <v>Strorox-100</v>
          </cell>
          <cell r="G2384" t="str">
            <v>kg</v>
          </cell>
          <cell r="H2384">
            <v>65600</v>
          </cell>
        </row>
        <row r="2385">
          <cell r="F2385" t="str">
            <v>Tali ijuk</v>
          </cell>
          <cell r="G2385" t="str">
            <v>kg</v>
          </cell>
          <cell r="H2385">
            <v>55600</v>
          </cell>
        </row>
        <row r="2386">
          <cell r="F2386" t="str">
            <v xml:space="preserve">Tali Ijuk </v>
          </cell>
          <cell r="G2386" t="str">
            <v>m'</v>
          </cell>
          <cell r="H2386">
            <v>1200</v>
          </cell>
        </row>
        <row r="2387">
          <cell r="F2387" t="str">
            <v>Terpal</v>
          </cell>
          <cell r="G2387" t="str">
            <v>m2</v>
          </cell>
          <cell r="H2387">
            <v>30900</v>
          </cell>
        </row>
        <row r="2388">
          <cell r="F2388" t="str">
            <v>Tiang Bolard (Bollard cast  iron) tinggi 1,2 m; ø bawah 5"; ø atas  4"</v>
          </cell>
          <cell r="G2388" t="str">
            <v>buah</v>
          </cell>
          <cell r="H2388" t="str">
            <v>X</v>
          </cell>
        </row>
        <row r="2389">
          <cell r="F2389" t="str">
            <v>Venetions  blinds  dan vertical blinds  (tirai)</v>
          </cell>
          <cell r="G2389" t="str">
            <v>m2</v>
          </cell>
          <cell r="H2389" t="str">
            <v>X</v>
          </cell>
        </row>
        <row r="2390">
          <cell r="F2390" t="str">
            <v>Wallpaper</v>
          </cell>
          <cell r="G2390" t="str">
            <v>m'</v>
          </cell>
          <cell r="H2390">
            <v>40800</v>
          </cell>
        </row>
        <row r="2391">
          <cell r="F2391" t="str">
            <v>Waterstop lebar 150 mm</v>
          </cell>
          <cell r="G2391" t="str">
            <v>m'</v>
          </cell>
          <cell r="H2391">
            <v>112600</v>
          </cell>
        </row>
        <row r="2392">
          <cell r="F2392" t="str">
            <v>Waterstop lebar 200 mm</v>
          </cell>
          <cell r="G2392" t="str">
            <v>m'</v>
          </cell>
          <cell r="H2392">
            <v>137800</v>
          </cell>
        </row>
        <row r="2393">
          <cell r="F2393" t="str">
            <v>Waterstop lebar 250 mm</v>
          </cell>
          <cell r="G2393" t="str">
            <v>m'</v>
          </cell>
          <cell r="H2393">
            <v>201500</v>
          </cell>
        </row>
        <row r="2394">
          <cell r="F2394" t="str">
            <v>Wax</v>
          </cell>
          <cell r="G2394" t="str">
            <v>kg</v>
          </cell>
          <cell r="H2394">
            <v>57400</v>
          </cell>
        </row>
        <row r="2395">
          <cell r="F2395" t="str">
            <v>Paving Block Tebal 6 cm fc 20 Mpa</v>
          </cell>
          <cell r="G2395" t="str">
            <v>m2</v>
          </cell>
          <cell r="H2395">
            <v>119936</v>
          </cell>
        </row>
        <row r="2396">
          <cell r="F2396" t="str">
            <v>Paving Block Tebal 6 cm fc 25 Mpa</v>
          </cell>
          <cell r="G2396" t="str">
            <v>m2</v>
          </cell>
          <cell r="H2396">
            <v>146531</v>
          </cell>
        </row>
        <row r="2397">
          <cell r="F2397" t="str">
            <v>Paving Block Tebal 8 cm fc 20 Mpa</v>
          </cell>
          <cell r="G2397" t="str">
            <v>m2</v>
          </cell>
          <cell r="H2397">
            <v>125378</v>
          </cell>
        </row>
        <row r="2398">
          <cell r="F2398" t="str">
            <v>Paving Block Tebal 8 cm fc 25 Mpa</v>
          </cell>
          <cell r="G2398" t="str">
            <v>m2</v>
          </cell>
          <cell r="H2398">
            <v>153309</v>
          </cell>
        </row>
        <row r="2399">
          <cell r="F2399" t="str">
            <v xml:space="preserve">Pasir Filler </v>
          </cell>
          <cell r="G2399" t="str">
            <v>m3</v>
          </cell>
          <cell r="H2399">
            <v>224000</v>
          </cell>
        </row>
        <row r="2400">
          <cell r="F2400" t="str">
            <v>Stepping Band Lebar 15 mm</v>
          </cell>
          <cell r="G2400" t="str">
            <v>m</v>
          </cell>
          <cell r="H2400" t="str">
            <v>X</v>
          </cell>
        </row>
        <row r="2401">
          <cell r="F2401" t="str">
            <v xml:space="preserve">Palet Kayu uk. 120x120x10 cm </v>
          </cell>
          <cell r="G2401" t="str">
            <v xml:space="preserve">buah </v>
          </cell>
          <cell r="H2401" t="str">
            <v>X</v>
          </cell>
        </row>
        <row r="2402">
          <cell r="F2402" t="str">
            <v>Geotextile &gt;100 gr/m2</v>
          </cell>
          <cell r="G2402" t="str">
            <v>m2</v>
          </cell>
          <cell r="H2402">
            <v>73000</v>
          </cell>
        </row>
        <row r="2403">
          <cell r="F2403" t="str">
            <v>Geotextile &gt;400 gr/m2</v>
          </cell>
          <cell r="G2403" t="str">
            <v>m2</v>
          </cell>
          <cell r="H2403">
            <v>144400</v>
          </cell>
        </row>
        <row r="2404">
          <cell r="F2404" t="str">
            <v>Geotextile &gt;800 gr/m2</v>
          </cell>
          <cell r="G2404" t="str">
            <v>m2</v>
          </cell>
          <cell r="H2404">
            <v>258300</v>
          </cell>
        </row>
        <row r="2405">
          <cell r="F2405" t="str">
            <v>Geotekstil woven 400 gr/m2</v>
          </cell>
          <cell r="G2405" t="str">
            <v>m2</v>
          </cell>
          <cell r="H2405">
            <v>144400</v>
          </cell>
        </row>
        <row r="2406">
          <cell r="F2406" t="str">
            <v xml:space="preserve">Geomembran </v>
          </cell>
          <cell r="G2406" t="str">
            <v>m2</v>
          </cell>
          <cell r="H2406">
            <v>16000</v>
          </cell>
        </row>
        <row r="2407">
          <cell r="F2407" t="str">
            <v>Geosynthetic Clay Liner</v>
          </cell>
          <cell r="G2407" t="str">
            <v>m2</v>
          </cell>
          <cell r="H2407" t="str">
            <v>X</v>
          </cell>
        </row>
        <row r="2408">
          <cell r="F2408" t="str">
            <v xml:space="preserve">Bentonite </v>
          </cell>
          <cell r="G2408" t="str">
            <v xml:space="preserve">kg </v>
          </cell>
          <cell r="H2408">
            <v>24200</v>
          </cell>
        </row>
        <row r="2409">
          <cell r="F2409" t="str">
            <v xml:space="preserve">MATERIAL LANSEKAP </v>
          </cell>
          <cell r="H2409" t="str">
            <v>X</v>
          </cell>
        </row>
        <row r="2410">
          <cell r="F2410" t="str">
            <v xml:space="preserve">Pupuk Organik </v>
          </cell>
          <cell r="G2410" t="str">
            <v>m3</v>
          </cell>
          <cell r="H2410">
            <v>92500</v>
          </cell>
        </row>
        <row r="2411">
          <cell r="F2411" t="str">
            <v xml:space="preserve">Material Organik </v>
          </cell>
          <cell r="G2411" t="str">
            <v>m3</v>
          </cell>
          <cell r="H2411">
            <v>92500</v>
          </cell>
        </row>
        <row r="2412">
          <cell r="F2412" t="str">
            <v>Pupuk anorganik *)</v>
          </cell>
          <cell r="G2412" t="str">
            <v>Kg</v>
          </cell>
          <cell r="H2412">
            <v>12900</v>
          </cell>
        </row>
        <row r="2413">
          <cell r="F2413" t="str">
            <v>Pupuk anorganik cair (ex: NPK)</v>
          </cell>
          <cell r="G2413" t="str">
            <v>Kg</v>
          </cell>
          <cell r="H2413">
            <v>36500</v>
          </cell>
        </row>
        <row r="2414">
          <cell r="F2414" t="str">
            <v xml:space="preserve">Pupuk anorganik padat </v>
          </cell>
          <cell r="G2414" t="str">
            <v>Kg</v>
          </cell>
          <cell r="H2414">
            <v>30900</v>
          </cell>
        </row>
        <row r="2415">
          <cell r="F2415" t="str">
            <v xml:space="preserve">Kompos </v>
          </cell>
          <cell r="G2415" t="str">
            <v>m3</v>
          </cell>
          <cell r="H2415">
            <v>92500</v>
          </cell>
        </row>
        <row r="2416">
          <cell r="F2416" t="str">
            <v xml:space="preserve">Pohon Bunga Mentega di Polybag 20 Liter </v>
          </cell>
          <cell r="G2416" t="str">
            <v xml:space="preserve">buah </v>
          </cell>
          <cell r="H2416">
            <v>86000</v>
          </cell>
        </row>
        <row r="2417">
          <cell r="F2417" t="str">
            <v>Pohon Bunga Mentega di
Polybag 25 Liter</v>
          </cell>
          <cell r="G2417" t="str">
            <v xml:space="preserve">Buah </v>
          </cell>
          <cell r="H2417">
            <v>102700</v>
          </cell>
        </row>
        <row r="2418">
          <cell r="F2418" t="str">
            <v>Pohon Bunga Terompet Kuning di Polybag 20 Liter</v>
          </cell>
          <cell r="G2418" t="str">
            <v xml:space="preserve">buah </v>
          </cell>
          <cell r="H2418">
            <v>102700</v>
          </cell>
        </row>
        <row r="2419">
          <cell r="F2419" t="str">
            <v>Pohon Bunga Terompet
Kuning di Polybag 25 Liter</v>
          </cell>
          <cell r="G2419" t="str">
            <v xml:space="preserve">Buah </v>
          </cell>
          <cell r="H2419">
            <v>102700</v>
          </cell>
        </row>
        <row r="2420">
          <cell r="F2420" t="str">
            <v>Pohon Bunga Terompet Kuning di Polybag 50 Liter</v>
          </cell>
          <cell r="G2420" t="str">
            <v xml:space="preserve">Buah </v>
          </cell>
          <cell r="H2420">
            <v>154100</v>
          </cell>
        </row>
        <row r="2421">
          <cell r="F2421" t="str">
            <v xml:space="preserve">Pohon Bungur Sakura di Polybag 20 Liter </v>
          </cell>
          <cell r="G2421" t="str">
            <v xml:space="preserve">buah </v>
          </cell>
          <cell r="H2421">
            <v>154100</v>
          </cell>
        </row>
        <row r="2422">
          <cell r="F2422" t="str">
            <v>Pohon Bungur
Sakura/Bungur Jepang di
Polybag 25 Liter</v>
          </cell>
          <cell r="G2422" t="str">
            <v xml:space="preserve">Buah </v>
          </cell>
          <cell r="H2422">
            <v>256800</v>
          </cell>
        </row>
        <row r="2423">
          <cell r="F2423" t="str">
            <v>Pohon Bungur di Polybag 75 Liter</v>
          </cell>
          <cell r="G2423" t="str">
            <v xml:space="preserve">Buah </v>
          </cell>
          <cell r="H2423">
            <v>256800</v>
          </cell>
        </row>
        <row r="2424">
          <cell r="F2424" t="str">
            <v>Pohon Bungur di Polybag 100 Liter</v>
          </cell>
          <cell r="G2424" t="str">
            <v xml:space="preserve">buah </v>
          </cell>
          <cell r="H2424">
            <v>410800</v>
          </cell>
        </row>
        <row r="2425">
          <cell r="F2425" t="str">
            <v xml:space="preserve">Pohon Cassia Glauca di Polybag 20 Liter </v>
          </cell>
          <cell r="G2425" t="str">
            <v xml:space="preserve">buah </v>
          </cell>
          <cell r="H2425">
            <v>102700</v>
          </cell>
        </row>
        <row r="2426">
          <cell r="F2426" t="str">
            <v>Pohon Cassia glauca di
Polybag 25 Liter</v>
          </cell>
          <cell r="G2426" t="str">
            <v xml:space="preserve">buah </v>
          </cell>
          <cell r="H2426">
            <v>205400</v>
          </cell>
        </row>
        <row r="2427">
          <cell r="F2427" t="str">
            <v>Pohon Dracaena'song of india' di polybag 20 liter</v>
          </cell>
          <cell r="G2427" t="str">
            <v xml:space="preserve">Buah </v>
          </cell>
          <cell r="H2427">
            <v>102700</v>
          </cell>
        </row>
        <row r="2428">
          <cell r="F2428" t="str">
            <v>Pohon Dracaena ‘Song of
India’ di Polybag 25 Liter</v>
          </cell>
          <cell r="G2428" t="str">
            <v xml:space="preserve">Buah </v>
          </cell>
          <cell r="H2428">
            <v>205400</v>
          </cell>
        </row>
        <row r="2429">
          <cell r="F2429" t="str">
            <v>Pohon Dracaena 'Song of
Jamaica' di Polybag 20
Liter</v>
          </cell>
          <cell r="G2429" t="str">
            <v xml:space="preserve">Buah </v>
          </cell>
          <cell r="H2429">
            <v>102700</v>
          </cell>
        </row>
        <row r="2430">
          <cell r="F2430" t="str">
            <v>Pohon Dracaena 'Song of
Jamaica' di Polybag 25
Liter</v>
          </cell>
          <cell r="G2430" t="str">
            <v>Buah</v>
          </cell>
          <cell r="H2430">
            <v>205400</v>
          </cell>
        </row>
        <row r="2431">
          <cell r="F2431" t="str">
            <v>Pohon Jarak Batavia di
Polybag 20 Liter</v>
          </cell>
          <cell r="G2431" t="str">
            <v xml:space="preserve">Buah </v>
          </cell>
          <cell r="H2431">
            <v>81000</v>
          </cell>
        </row>
        <row r="2432">
          <cell r="F2432" t="str">
            <v>Pohon Jarak Batavia di Polybag 25 Liter</v>
          </cell>
          <cell r="G2432" t="str">
            <v>Buah</v>
          </cell>
          <cell r="H2432">
            <v>154100</v>
          </cell>
        </row>
        <row r="2433">
          <cell r="F2433" t="str">
            <v>Pohon Kayu Putih Kuning di Polybag 20 Liter</v>
          </cell>
          <cell r="G2433" t="str">
            <v xml:space="preserve">Buah </v>
          </cell>
          <cell r="H2433">
            <v>102700</v>
          </cell>
        </row>
        <row r="2434">
          <cell r="F2434" t="str">
            <v>Pohon Kayu Putih Kuning di Polybag 25 Liter</v>
          </cell>
          <cell r="G2434" t="str">
            <v xml:space="preserve">Buah </v>
          </cell>
          <cell r="H2434">
            <v>410800</v>
          </cell>
        </row>
        <row r="2435">
          <cell r="F2435" t="str">
            <v>Pohon Bugenvil/bunga kertas di Polybag 20 Liter</v>
          </cell>
          <cell r="G2435" t="str">
            <v xml:space="preserve">Buah </v>
          </cell>
          <cell r="H2435">
            <v>205400</v>
          </cell>
        </row>
        <row r="2436">
          <cell r="F2436" t="str">
            <v>Pohon Penda Merah di Polybag 20 Liter</v>
          </cell>
          <cell r="G2436" t="str">
            <v xml:space="preserve">Buah </v>
          </cell>
          <cell r="H2436">
            <v>67400</v>
          </cell>
        </row>
        <row r="2437">
          <cell r="F2437" t="str">
            <v>Pohon Pucuk merah di Polybag 25 Liter</v>
          </cell>
          <cell r="G2437" t="str">
            <v xml:space="preserve">Buah </v>
          </cell>
          <cell r="H2437">
            <v>146900</v>
          </cell>
        </row>
        <row r="2438">
          <cell r="F2438" t="str">
            <v>Pohon Sikat Botol di Polybag 20 Liter</v>
          </cell>
          <cell r="G2438" t="str">
            <v xml:space="preserve">buah </v>
          </cell>
          <cell r="H2438">
            <v>92500</v>
          </cell>
        </row>
        <row r="2439">
          <cell r="F2439" t="str">
            <v>Pohon Sikat Botol di Polybag 25 Liter</v>
          </cell>
          <cell r="G2439" t="str">
            <v xml:space="preserve">Buah </v>
          </cell>
          <cell r="H2439">
            <v>148900</v>
          </cell>
        </row>
        <row r="2440">
          <cell r="F2440" t="str">
            <v xml:space="preserve">Pohon kecil Anggur terompet </v>
          </cell>
          <cell r="G2440" t="str">
            <v xml:space="preserve">buah </v>
          </cell>
          <cell r="H2440" t="str">
            <v>X</v>
          </cell>
        </row>
        <row r="2441">
          <cell r="F2441" t="str">
            <v xml:space="preserve">Anti Rayap tanah </v>
          </cell>
          <cell r="G2441" t="str">
            <v>kg</v>
          </cell>
          <cell r="H2441">
            <v>78500</v>
          </cell>
        </row>
        <row r="2442">
          <cell r="F2442" t="str">
            <v xml:space="preserve">Pohon kecil Pucuk merah </v>
          </cell>
          <cell r="G2442" t="str">
            <v>buah</v>
          </cell>
          <cell r="H2442">
            <v>82500</v>
          </cell>
        </row>
        <row r="2443">
          <cell r="F2443" t="str">
            <v xml:space="preserve">Pohon Pucuk Merah di Polybag 20 Liter </v>
          </cell>
          <cell r="G2443" t="str">
            <v xml:space="preserve">Pohon </v>
          </cell>
          <cell r="H2443" t="str">
            <v>X</v>
          </cell>
        </row>
        <row r="2444">
          <cell r="F2444" t="str">
            <v xml:space="preserve">Pohon Pucuk Merah di Polybag 25 Liter </v>
          </cell>
          <cell r="G2444" t="str">
            <v xml:space="preserve">Pohon </v>
          </cell>
          <cell r="H2444" t="str">
            <v>X</v>
          </cell>
        </row>
        <row r="2445">
          <cell r="F2445" t="str">
            <v xml:space="preserve">Pohon Bunga Kupu-kupu di Polybag 50 Liter </v>
          </cell>
          <cell r="G2445" t="str">
            <v xml:space="preserve">Pohon </v>
          </cell>
          <cell r="H2445">
            <v>203400</v>
          </cell>
        </row>
        <row r="2446">
          <cell r="F2446" t="str">
            <v xml:space="preserve">Pohon Bunga Kupu-kupu di Polybag 75 Liter </v>
          </cell>
          <cell r="G2446" t="str">
            <v xml:space="preserve">Pohon </v>
          </cell>
          <cell r="H2446">
            <v>338900</v>
          </cell>
        </row>
        <row r="2447">
          <cell r="F2447" t="str">
            <v>Pohon Pulai di Polybag 75 Liter</v>
          </cell>
          <cell r="G2447" t="str">
            <v xml:space="preserve">Buah </v>
          </cell>
          <cell r="H2447">
            <v>256800</v>
          </cell>
        </row>
        <row r="2448">
          <cell r="F2448" t="str">
            <v>Pohon Pulai di Polybag 100 Liter</v>
          </cell>
          <cell r="G2448" t="str">
            <v xml:space="preserve">Buah </v>
          </cell>
          <cell r="H2448">
            <v>308100</v>
          </cell>
        </row>
        <row r="2449">
          <cell r="F2449" t="str">
            <v>Pohon Pulai di Polybag 150 Liter</v>
          </cell>
          <cell r="G2449" t="str">
            <v xml:space="preserve">buah </v>
          </cell>
          <cell r="H2449">
            <v>441600</v>
          </cell>
        </row>
        <row r="2450">
          <cell r="F2450" t="str">
            <v>Pohon Pulai di Polybag 200 Liter</v>
          </cell>
          <cell r="G2450" t="str">
            <v xml:space="preserve">Buah </v>
          </cell>
          <cell r="H2450">
            <v>513500</v>
          </cell>
        </row>
        <row r="2451">
          <cell r="F2451" t="str">
            <v>Pohon Pulai di Polybag 250 Liter</v>
          </cell>
          <cell r="G2451" t="str">
            <v xml:space="preserve">Buah </v>
          </cell>
          <cell r="H2451">
            <v>707500</v>
          </cell>
        </row>
        <row r="2452">
          <cell r="F2452" t="str">
            <v xml:space="preserve">Pohon sedang Ketapang Kencana </v>
          </cell>
          <cell r="G2452" t="str">
            <v>buah</v>
          </cell>
          <cell r="H2452" t="str">
            <v>X</v>
          </cell>
        </row>
        <row r="2453">
          <cell r="F2453" t="str">
            <v>Pohon Mahoni di Polybag 75 Liter</v>
          </cell>
          <cell r="G2453" t="str">
            <v>Buah</v>
          </cell>
          <cell r="H2453">
            <v>256800</v>
          </cell>
        </row>
        <row r="2454">
          <cell r="F2454" t="str">
            <v>Pohon Mahoni di Polybag 100 Liter</v>
          </cell>
          <cell r="G2454" t="str">
            <v xml:space="preserve">Pohon </v>
          </cell>
          <cell r="H2454">
            <v>492900</v>
          </cell>
        </row>
        <row r="2455">
          <cell r="F2455" t="str">
            <v>Pohon Mahoni di Polybag 150 Liter</v>
          </cell>
          <cell r="G2455" t="str">
            <v xml:space="preserve">Pohon </v>
          </cell>
          <cell r="H2455">
            <v>544300</v>
          </cell>
        </row>
        <row r="2456">
          <cell r="F2456" t="str">
            <v>Pohon Beringin di Polybag 200 Liter</v>
          </cell>
          <cell r="G2456" t="str">
            <v xml:space="preserve">Pohon </v>
          </cell>
          <cell r="H2456">
            <v>253500</v>
          </cell>
        </row>
        <row r="2457">
          <cell r="F2457" t="str">
            <v>Pohon Beringin di Polybag 250 Liter</v>
          </cell>
          <cell r="G2457" t="str">
            <v xml:space="preserve">Pohon </v>
          </cell>
          <cell r="H2457">
            <v>318400</v>
          </cell>
        </row>
        <row r="2458">
          <cell r="F2458" t="str">
            <v>Pohon Beringin di Polybag 100 Liter</v>
          </cell>
          <cell r="G2458" t="str">
            <v xml:space="preserve">buah </v>
          </cell>
          <cell r="H2458">
            <v>113000</v>
          </cell>
        </row>
        <row r="2459">
          <cell r="F2459" t="str">
            <v>Pohon Beringin di Polybag 150 Liter</v>
          </cell>
          <cell r="G2459" t="str">
            <v xml:space="preserve">Buah </v>
          </cell>
          <cell r="H2459">
            <v>146900</v>
          </cell>
        </row>
        <row r="2460">
          <cell r="F2460" t="str">
            <v>Pohon Beringin di Polybag 250 Liter</v>
          </cell>
          <cell r="G2460" t="str">
            <v xml:space="preserve">Buah </v>
          </cell>
          <cell r="H2460">
            <v>318400</v>
          </cell>
        </row>
        <row r="2461">
          <cell r="F2461" t="str">
            <v>Pohon sedang Tabebuya</v>
          </cell>
          <cell r="G2461" t="str">
            <v>buah</v>
          </cell>
          <cell r="H2461" t="str">
            <v>X</v>
          </cell>
        </row>
        <row r="2462">
          <cell r="F2462" t="str">
            <v>Pohon Bintaro di Polybag 50 Liter</v>
          </cell>
          <cell r="G2462" t="str">
            <v xml:space="preserve">Buah </v>
          </cell>
          <cell r="H2462">
            <v>154100</v>
          </cell>
        </row>
        <row r="2463">
          <cell r="F2463" t="str">
            <v>Pohon Bintaro di Polybag 75 Liter</v>
          </cell>
          <cell r="G2463" t="str">
            <v xml:space="preserve">Buah </v>
          </cell>
          <cell r="H2463">
            <v>256800</v>
          </cell>
        </row>
        <row r="2464">
          <cell r="F2464" t="str">
            <v>Pohon Besar Kamboja</v>
          </cell>
          <cell r="G2464" t="str">
            <v>buah</v>
          </cell>
          <cell r="H2464" t="str">
            <v>X</v>
          </cell>
        </row>
        <row r="2465">
          <cell r="F2465" t="str">
            <v>Pohon Besar Beringin</v>
          </cell>
          <cell r="G2465" t="str">
            <v>buah</v>
          </cell>
          <cell r="H2465">
            <v>605900</v>
          </cell>
        </row>
        <row r="2466">
          <cell r="F2466" t="str">
            <v>Pohon Besar Pulai</v>
          </cell>
          <cell r="G2466" t="str">
            <v>buah</v>
          </cell>
          <cell r="H2466" t="str">
            <v>X</v>
          </cell>
        </row>
        <row r="2467">
          <cell r="F2467" t="str">
            <v>Pohon Besar Trembesi</v>
          </cell>
          <cell r="G2467" t="str">
            <v>buah</v>
          </cell>
          <cell r="H2467" t="str">
            <v>X</v>
          </cell>
        </row>
        <row r="2468">
          <cell r="F2468" t="str">
            <v>Pohon Trembesi di Polybag 75 Liter</v>
          </cell>
          <cell r="G2468" t="str">
            <v xml:space="preserve">buah </v>
          </cell>
          <cell r="H2468">
            <v>256800</v>
          </cell>
        </row>
        <row r="2469">
          <cell r="F2469" t="str">
            <v>Pohon Trembesi di Polybag 100 Liter</v>
          </cell>
          <cell r="G2469" t="str">
            <v xml:space="preserve">buah </v>
          </cell>
          <cell r="H2469">
            <v>328600</v>
          </cell>
        </row>
        <row r="2470">
          <cell r="F2470" t="str">
            <v>Pohon Trembesi di Polybag 150 Liter</v>
          </cell>
          <cell r="G2470" t="str">
            <v xml:space="preserve">Buah </v>
          </cell>
          <cell r="H2470">
            <v>503200</v>
          </cell>
        </row>
        <row r="2471">
          <cell r="F2471" t="str">
            <v>Pohon Trembesi di Polybag 200 Liter</v>
          </cell>
          <cell r="G2471" t="str">
            <v>Buah</v>
          </cell>
          <cell r="H2471" t="str">
            <v>X</v>
          </cell>
        </row>
        <row r="2472">
          <cell r="F2472" t="str">
            <v>Pohon Trembesi di Polybag 250 Liter</v>
          </cell>
          <cell r="G2472" t="str">
            <v>Buah</v>
          </cell>
          <cell r="H2472">
            <v>1016600</v>
          </cell>
        </row>
        <row r="2473">
          <cell r="F2473" t="str">
            <v>Pohon Thevetia di Polybag 20 Liter</v>
          </cell>
          <cell r="G2473" t="str">
            <v xml:space="preserve">buah </v>
          </cell>
          <cell r="H2473">
            <v>95100</v>
          </cell>
        </row>
        <row r="2474">
          <cell r="F2474" t="str">
            <v>Pohon Thevetia di Polybag 25 Liter</v>
          </cell>
          <cell r="G2474" t="str">
            <v xml:space="preserve">Buah </v>
          </cell>
          <cell r="H2474">
            <v>133500</v>
          </cell>
        </row>
        <row r="2475">
          <cell r="F2475" t="str">
            <v>Pohon Turi di Polybag 20 Liter</v>
          </cell>
          <cell r="G2475" t="str">
            <v xml:space="preserve">buah </v>
          </cell>
          <cell r="H2475">
            <v>56500</v>
          </cell>
        </row>
        <row r="2476">
          <cell r="F2476" t="str">
            <v>Pohon Turi di Polybag 25 Liter</v>
          </cell>
          <cell r="G2476" t="str">
            <v xml:space="preserve">buah </v>
          </cell>
          <cell r="H2476">
            <v>154100</v>
          </cell>
        </row>
        <row r="2477">
          <cell r="F2477" t="str">
            <v>Pohon Kembang Merak di
Polybag 20 Liter</v>
          </cell>
          <cell r="G2477" t="str">
            <v xml:space="preserve">buah </v>
          </cell>
          <cell r="H2477">
            <v>73600</v>
          </cell>
        </row>
        <row r="2478">
          <cell r="F2478" t="str">
            <v>Pohon Pandan Bali di
Polybag 20 Liter</v>
          </cell>
          <cell r="G2478" t="str">
            <v xml:space="preserve">buah </v>
          </cell>
          <cell r="H2478">
            <v>154100</v>
          </cell>
        </row>
        <row r="2479">
          <cell r="F2479" t="str">
            <v>Pohon Yucca di Polybag
20 Liter</v>
          </cell>
          <cell r="G2479" t="str">
            <v xml:space="preserve">buah </v>
          </cell>
          <cell r="H2479">
            <v>770200</v>
          </cell>
        </row>
        <row r="2480">
          <cell r="F2480" t="str">
            <v>Pohon Flamboyan di Polybag 50 Liter</v>
          </cell>
          <cell r="G2480" t="str">
            <v xml:space="preserve">Buah </v>
          </cell>
          <cell r="H2480">
            <v>842100</v>
          </cell>
        </row>
        <row r="2481">
          <cell r="F2481" t="str">
            <v>Pohon Flamboyan Kuning di Polybag 50 Liter</v>
          </cell>
          <cell r="G2481" t="str">
            <v xml:space="preserve">Buah </v>
          </cell>
          <cell r="H2481">
            <v>308100</v>
          </cell>
        </row>
        <row r="2482">
          <cell r="F2482" t="str">
            <v>Pohon Flamboyan di Polybag 75 Liter</v>
          </cell>
          <cell r="G2482" t="str">
            <v xml:space="preserve">Buah </v>
          </cell>
          <cell r="H2482">
            <v>924200</v>
          </cell>
        </row>
        <row r="2483">
          <cell r="F2483" t="str">
            <v>Pohon Flamboyan di Polybag 100 Liter</v>
          </cell>
          <cell r="G2483" t="str">
            <v xml:space="preserve">Buah </v>
          </cell>
          <cell r="H2483">
            <v>534000</v>
          </cell>
        </row>
        <row r="2484">
          <cell r="F2484" t="str">
            <v>Pohon Flamboyan di Polybag 150 Liter</v>
          </cell>
          <cell r="G2484" t="str">
            <v xml:space="preserve">Buah </v>
          </cell>
          <cell r="H2484">
            <v>716800</v>
          </cell>
        </row>
        <row r="2485">
          <cell r="F2485" t="str">
            <v>Pohon Flamboyan di Polybag 200 Liter</v>
          </cell>
          <cell r="G2485" t="str">
            <v xml:space="preserve">Buah </v>
          </cell>
          <cell r="H2485">
            <v>788700</v>
          </cell>
        </row>
        <row r="2486">
          <cell r="F2486" t="str">
            <v>Pohon Flamboyan Kuning di Polybag 75 Liter</v>
          </cell>
          <cell r="G2486" t="str">
            <v xml:space="preserve">Buah </v>
          </cell>
          <cell r="H2486">
            <v>513500</v>
          </cell>
        </row>
        <row r="2487">
          <cell r="F2487" t="str">
            <v>Pohon Janda Merana di Polybag 50 Liter</v>
          </cell>
          <cell r="G2487" t="str">
            <v xml:space="preserve">Buah </v>
          </cell>
          <cell r="H2487">
            <v>205400</v>
          </cell>
        </row>
        <row r="2488">
          <cell r="F2488" t="str">
            <v>Pohon Janda Merana di Polybag 75 Liter</v>
          </cell>
          <cell r="G2488" t="str">
            <v xml:space="preserve">Buah </v>
          </cell>
          <cell r="H2488">
            <v>359400</v>
          </cell>
        </row>
        <row r="2489">
          <cell r="F2489" t="str">
            <v>Pohon Ketapang kencana di Polybag 50 Liter</v>
          </cell>
          <cell r="G2489" t="str">
            <v xml:space="preserve">Buah </v>
          </cell>
          <cell r="H2489">
            <v>205400</v>
          </cell>
        </row>
        <row r="2490">
          <cell r="F2490" t="str">
            <v>Pohon Ketapang kencana di Polybag 75 Liter</v>
          </cell>
          <cell r="G2490" t="str">
            <v xml:space="preserve">Buah </v>
          </cell>
          <cell r="H2490">
            <v>236200</v>
          </cell>
        </row>
        <row r="2491">
          <cell r="F2491" t="str">
            <v>Pohon Ketapang kencana di Polybag 100 Liter</v>
          </cell>
          <cell r="G2491" t="str">
            <v xml:space="preserve">Buah </v>
          </cell>
          <cell r="H2491">
            <v>359400</v>
          </cell>
        </row>
        <row r="2492">
          <cell r="F2492" t="str">
            <v>Pohon Sosis di Polybag 50 Liter</v>
          </cell>
          <cell r="G2492" t="str">
            <v xml:space="preserve">Buah </v>
          </cell>
          <cell r="H2492">
            <v>236200</v>
          </cell>
        </row>
        <row r="2493">
          <cell r="F2493" t="str">
            <v>Pohon Sosis di Polybag 75 Liter</v>
          </cell>
          <cell r="G2493" t="str">
            <v xml:space="preserve">Buah </v>
          </cell>
          <cell r="H2493">
            <v>390300</v>
          </cell>
        </row>
        <row r="2494">
          <cell r="F2494" t="str">
            <v>Pohon Sosis di Polybag 100 Liter</v>
          </cell>
          <cell r="G2494" t="str">
            <v xml:space="preserve">Buah </v>
          </cell>
          <cell r="H2494">
            <v>503200</v>
          </cell>
        </row>
        <row r="2495">
          <cell r="F2495" t="str">
            <v>Pohon Sosis di Polybag 150 Liter</v>
          </cell>
          <cell r="G2495" t="str">
            <v xml:space="preserve">Buah </v>
          </cell>
          <cell r="H2495">
            <v>636700</v>
          </cell>
        </row>
        <row r="2496">
          <cell r="F2496" t="str">
            <v>Pohon Sosis di Polybag 200 Liter</v>
          </cell>
          <cell r="G2496" t="str">
            <v xml:space="preserve">Buah </v>
          </cell>
          <cell r="H2496">
            <v>718800</v>
          </cell>
        </row>
        <row r="2497">
          <cell r="F2497" t="str">
            <v>Pohon Sosis di Polybag 250
Liter</v>
          </cell>
          <cell r="G2497" t="str">
            <v>Buah</v>
          </cell>
          <cell r="H2497">
            <v>842100</v>
          </cell>
        </row>
        <row r="2498">
          <cell r="F2498" t="str">
            <v>Pohon Tabebuya di Polybag 50 Liter</v>
          </cell>
          <cell r="G2498" t="str">
            <v xml:space="preserve">Buah </v>
          </cell>
          <cell r="H2498" t="str">
            <v>X</v>
          </cell>
        </row>
        <row r="2499">
          <cell r="F2499" t="str">
            <v>Pohon Tabebuya di Polybag 75 Liter</v>
          </cell>
          <cell r="G2499" t="str">
            <v xml:space="preserve">Buah </v>
          </cell>
          <cell r="H2499" t="str">
            <v>X</v>
          </cell>
        </row>
        <row r="2500">
          <cell r="F2500" t="str">
            <v>Pohon Waru di Polybag 50 Liter</v>
          </cell>
          <cell r="G2500" t="str">
            <v xml:space="preserve">Buah </v>
          </cell>
          <cell r="H2500">
            <v>184900</v>
          </cell>
        </row>
        <row r="2501">
          <cell r="F2501" t="str">
            <v>Pohon Waru di Polybag 75 Liter</v>
          </cell>
          <cell r="G2501" t="str">
            <v xml:space="preserve">Buah </v>
          </cell>
          <cell r="H2501">
            <v>306100</v>
          </cell>
        </row>
        <row r="2502">
          <cell r="F2502" t="str">
            <v>Pohon Biola Cantik di Polybag 75 Liter</v>
          </cell>
          <cell r="G2502" t="str">
            <v xml:space="preserve">Buah </v>
          </cell>
          <cell r="H2502">
            <v>308100</v>
          </cell>
        </row>
        <row r="2503">
          <cell r="F2503" t="str">
            <v>Pohon Biola Cantik di Polybag 100 Liter</v>
          </cell>
          <cell r="G2503" t="str">
            <v xml:space="preserve">Buah </v>
          </cell>
          <cell r="H2503">
            <v>513500</v>
          </cell>
        </row>
        <row r="2504">
          <cell r="F2504" t="str">
            <v>Pohon Kamboja di Polybag 75 Liter</v>
          </cell>
          <cell r="G2504" t="str">
            <v xml:space="preserve">Buah </v>
          </cell>
          <cell r="H2504">
            <v>256800</v>
          </cell>
        </row>
        <row r="2505">
          <cell r="F2505" t="str">
            <v>Pohon Kamboja di Polybag 100 Liter</v>
          </cell>
          <cell r="G2505" t="str">
            <v xml:space="preserve">buah </v>
          </cell>
          <cell r="H2505">
            <v>308100</v>
          </cell>
        </row>
        <row r="2506">
          <cell r="F2506" t="str">
            <v>Pohon Kamboja di Polybag 150 Liter</v>
          </cell>
          <cell r="G2506" t="str">
            <v xml:space="preserve">Buah </v>
          </cell>
          <cell r="H2506">
            <v>410800</v>
          </cell>
        </row>
        <row r="2507">
          <cell r="F2507" t="str">
            <v>Pohon Kamboja Fosil di Polybag 200 Liter</v>
          </cell>
          <cell r="G2507" t="str">
            <v xml:space="preserve">Buah </v>
          </cell>
          <cell r="H2507">
            <v>1540300</v>
          </cell>
        </row>
        <row r="2508">
          <cell r="F2508" t="str">
            <v>Pohon Keben di Polybag 75 Liter</v>
          </cell>
          <cell r="G2508" t="str">
            <v xml:space="preserve">Buah </v>
          </cell>
          <cell r="H2508">
            <v>256800</v>
          </cell>
        </row>
        <row r="2509">
          <cell r="F2509" t="str">
            <v>Pohon Keben di Polybag 100 Liter</v>
          </cell>
          <cell r="G2509" t="str">
            <v xml:space="preserve">Buah </v>
          </cell>
          <cell r="H2509">
            <v>308100</v>
          </cell>
        </row>
        <row r="2510">
          <cell r="F2510" t="str">
            <v>Pohon Kecrutan di Polybag
75 Liter</v>
          </cell>
          <cell r="G2510" t="str">
            <v xml:space="preserve">Buah </v>
          </cell>
          <cell r="H2510">
            <v>236200</v>
          </cell>
        </row>
        <row r="2511">
          <cell r="F2511" t="str">
            <v>Pohon Kecrutan di Polybag 100 Liter</v>
          </cell>
          <cell r="G2511" t="str">
            <v xml:space="preserve">Buah </v>
          </cell>
          <cell r="H2511">
            <v>287600</v>
          </cell>
        </row>
        <row r="2512">
          <cell r="F2512" t="str">
            <v>Pohon Putat di Polybag 75
Liter</v>
          </cell>
          <cell r="G2512" t="str">
            <v xml:space="preserve">Buah </v>
          </cell>
          <cell r="H2512">
            <v>287600</v>
          </cell>
        </row>
        <row r="2513">
          <cell r="F2513" t="str">
            <v>Pohon Putat di Polybag 100 Liter</v>
          </cell>
          <cell r="G2513" t="str">
            <v xml:space="preserve">Buah </v>
          </cell>
          <cell r="H2513">
            <v>363600</v>
          </cell>
        </row>
        <row r="2514">
          <cell r="F2514" t="str">
            <v>Pohon Bodhi di Polybag 100 Liter</v>
          </cell>
          <cell r="G2514" t="str">
            <v xml:space="preserve">buah </v>
          </cell>
          <cell r="H2514">
            <v>513500</v>
          </cell>
        </row>
        <row r="2515">
          <cell r="F2515" t="str">
            <v>Pohon Bodhi di Polybag 150 Liter</v>
          </cell>
          <cell r="G2515" t="str">
            <v xml:space="preserve">Buah </v>
          </cell>
          <cell r="H2515">
            <v>667500</v>
          </cell>
        </row>
        <row r="2516">
          <cell r="F2516" t="str">
            <v>Pohon Bodhi di Polybag 200 Liter</v>
          </cell>
          <cell r="G2516" t="str">
            <v xml:space="preserve">Buah </v>
          </cell>
          <cell r="H2516">
            <v>801000</v>
          </cell>
        </row>
        <row r="2517">
          <cell r="F2517" t="str">
            <v>Pohon Bodhi di Polybag 250 Liter</v>
          </cell>
          <cell r="G2517" t="str">
            <v>Buah</v>
          </cell>
          <cell r="H2517">
            <v>1026900</v>
          </cell>
        </row>
        <row r="2518">
          <cell r="F2518" t="str">
            <v>Pohon Baobab di Polybag 250 Liter</v>
          </cell>
          <cell r="G2518" t="str">
            <v>Buah</v>
          </cell>
          <cell r="H2518">
            <v>3080600</v>
          </cell>
        </row>
        <row r="2519">
          <cell r="F2519" t="str">
            <v>Palem ekor tupai di Polybag 100 Liter</v>
          </cell>
          <cell r="G2519" t="str">
            <v xml:space="preserve">Buah </v>
          </cell>
          <cell r="H2519">
            <v>421100</v>
          </cell>
        </row>
        <row r="2520">
          <cell r="F2520" t="str">
            <v>Sylvertris di Polybag 100 Liter</v>
          </cell>
          <cell r="G2520" t="str">
            <v xml:space="preserve">Buah </v>
          </cell>
          <cell r="H2520">
            <v>1026900</v>
          </cell>
        </row>
        <row r="2521">
          <cell r="F2521" t="str">
            <v>Sylvertris di Polybag 150 Liter</v>
          </cell>
          <cell r="G2521" t="str">
            <v xml:space="preserve">Buah </v>
          </cell>
          <cell r="H2521">
            <v>1263100</v>
          </cell>
        </row>
        <row r="2522">
          <cell r="F2522" t="str">
            <v>Sylvertris di Polybag 200 Liter</v>
          </cell>
          <cell r="G2522" t="str">
            <v xml:space="preserve">Buah </v>
          </cell>
          <cell r="H2522">
            <v>1714900</v>
          </cell>
        </row>
        <row r="2523">
          <cell r="F2523" t="str">
            <v>Sylvertris di Polybag 250 Liter</v>
          </cell>
          <cell r="G2523" t="str">
            <v xml:space="preserve">Buah </v>
          </cell>
          <cell r="H2523">
            <v>2053700</v>
          </cell>
        </row>
        <row r="2524">
          <cell r="F2524" t="str">
            <v>Palem Putri di Polybag 100 Liter</v>
          </cell>
          <cell r="G2524" t="str">
            <v xml:space="preserve">Buah </v>
          </cell>
          <cell r="H2524">
            <v>539100</v>
          </cell>
        </row>
        <row r="2525">
          <cell r="F2525" t="str">
            <v>Palem Putri di Polybag 150 Liter</v>
          </cell>
          <cell r="G2525" t="str">
            <v xml:space="preserve">Buah </v>
          </cell>
          <cell r="H2525">
            <v>705500</v>
          </cell>
        </row>
        <row r="2526">
          <cell r="F2526" t="str">
            <v>Palem Putri di Polybag 200 Liter</v>
          </cell>
          <cell r="G2526" t="str">
            <v xml:space="preserve">Buah </v>
          </cell>
          <cell r="H2526">
            <v>820500</v>
          </cell>
        </row>
        <row r="2527">
          <cell r="F2527" t="str">
            <v>Palem Putri di Polybag 250 Liter</v>
          </cell>
          <cell r="G2527" t="str">
            <v xml:space="preserve">Buah </v>
          </cell>
          <cell r="H2527">
            <v>857000</v>
          </cell>
        </row>
        <row r="2528">
          <cell r="F2528" t="str">
            <v>Palem raja di Polybag 100 Liter</v>
          </cell>
          <cell r="G2528" t="str">
            <v xml:space="preserve">Buah </v>
          </cell>
          <cell r="H2528">
            <v>462100</v>
          </cell>
        </row>
        <row r="2529">
          <cell r="F2529" t="str">
            <v>Palem raja di Polybag 150 Liter</v>
          </cell>
          <cell r="G2529" t="str">
            <v xml:space="preserve">Buah </v>
          </cell>
          <cell r="H2529">
            <v>614100</v>
          </cell>
        </row>
        <row r="2530">
          <cell r="F2530" t="str">
            <v>Palem raja di Polybag 200 Liter</v>
          </cell>
          <cell r="G2530" t="str">
            <v xml:space="preserve">Buah </v>
          </cell>
          <cell r="H2530">
            <v>651100</v>
          </cell>
        </row>
        <row r="2531">
          <cell r="F2531" t="str">
            <v>Palem raja di Polybag 250 Liter</v>
          </cell>
          <cell r="G2531" t="str">
            <v>Buah</v>
          </cell>
          <cell r="H2531">
            <v>694200</v>
          </cell>
        </row>
        <row r="2532">
          <cell r="F2532" t="str">
            <v>Palem sadeng di Polybag 100
Liter</v>
          </cell>
          <cell r="G2532" t="str">
            <v xml:space="preserve">Buah </v>
          </cell>
          <cell r="H2532">
            <v>292700</v>
          </cell>
        </row>
        <row r="2533">
          <cell r="F2533" t="str">
            <v>Palem sadeng di Polybag 150 Liter</v>
          </cell>
          <cell r="G2533" t="str">
            <v xml:space="preserve">Buah </v>
          </cell>
          <cell r="H2533">
            <v>354300</v>
          </cell>
        </row>
        <row r="2534">
          <cell r="F2534" t="str">
            <v>Palem sadeng di Polybag 200
Liter</v>
          </cell>
          <cell r="G2534" t="str">
            <v xml:space="preserve">Buah </v>
          </cell>
          <cell r="H2534">
            <v>433400</v>
          </cell>
        </row>
        <row r="2535">
          <cell r="F2535" t="str">
            <v>Palem Sadeng di Polybag 250
Liter</v>
          </cell>
          <cell r="G2535" t="str">
            <v xml:space="preserve">Buah </v>
          </cell>
          <cell r="H2535">
            <v>468300</v>
          </cell>
        </row>
        <row r="2536">
          <cell r="F2536" t="str">
            <v>Palem Kecil Palem Wregu</v>
          </cell>
          <cell r="G2536" t="str">
            <v>buah</v>
          </cell>
          <cell r="H2536" t="str">
            <v>X</v>
          </cell>
        </row>
        <row r="2537">
          <cell r="F2537" t="str">
            <v>Palem Kecil Palem Kuning</v>
          </cell>
          <cell r="G2537" t="str">
            <v>buah</v>
          </cell>
          <cell r="H2537" t="str">
            <v>X</v>
          </cell>
        </row>
        <row r="2538">
          <cell r="F2538" t="str">
            <v xml:space="preserve">Palem Besar Palem Ekor Tupai </v>
          </cell>
          <cell r="G2538" t="str">
            <v>buah</v>
          </cell>
          <cell r="H2538" t="str">
            <v>X</v>
          </cell>
        </row>
        <row r="2539">
          <cell r="F2539" t="str">
            <v>Palem ekor tupai di Polybag 150
Liter</v>
          </cell>
          <cell r="G2539" t="str">
            <v xml:space="preserve">Buah </v>
          </cell>
          <cell r="H2539">
            <v>513500</v>
          </cell>
        </row>
        <row r="2540">
          <cell r="F2540" t="str">
            <v>Palem ekor tupai di Polybag 200
Liter</v>
          </cell>
          <cell r="G2540" t="str">
            <v xml:space="preserve">Buah </v>
          </cell>
          <cell r="H2540">
            <v>601800</v>
          </cell>
        </row>
        <row r="2541">
          <cell r="F2541" t="str">
            <v>Palem ekor tupai di Polybag 250
Liter</v>
          </cell>
          <cell r="G2541" t="str">
            <v xml:space="preserve">Buah </v>
          </cell>
          <cell r="H2541">
            <v>651600</v>
          </cell>
        </row>
        <row r="2542">
          <cell r="F2542" t="str">
            <v xml:space="preserve">Palem Besar Kelapa </v>
          </cell>
          <cell r="G2542" t="str">
            <v>buah</v>
          </cell>
          <cell r="H2542" t="str">
            <v>X</v>
          </cell>
        </row>
        <row r="2543">
          <cell r="F2543" t="str">
            <v xml:space="preserve">Palem Besar Palem Botol </v>
          </cell>
          <cell r="H2543">
            <v>2047100</v>
          </cell>
        </row>
        <row r="2544">
          <cell r="F2544" t="str">
            <v>Palem jepang di Polybag 50 Liter</v>
          </cell>
          <cell r="G2544" t="str">
            <v xml:space="preserve">Buah </v>
          </cell>
          <cell r="H2544">
            <v>154100</v>
          </cell>
        </row>
        <row r="2545">
          <cell r="F2545" t="str">
            <v>Palem jepang di Polybag 75
Liter</v>
          </cell>
          <cell r="G2545" t="str">
            <v>Buah</v>
          </cell>
          <cell r="H2545">
            <v>256800</v>
          </cell>
        </row>
        <row r="2546">
          <cell r="F2546" t="str">
            <v>Palem komodoria/
komodor/chamadorea di
Polybag 50 Liter</v>
          </cell>
          <cell r="G2546" t="str">
            <v xml:space="preserve">Buah </v>
          </cell>
          <cell r="H2546">
            <v>154100</v>
          </cell>
        </row>
        <row r="2547">
          <cell r="F2547" t="str">
            <v>Palem komodoria/
komodor/chamadorea di
Polybag 75 Liter</v>
          </cell>
          <cell r="G2547" t="str">
            <v>Buah</v>
          </cell>
          <cell r="H2547">
            <v>205400</v>
          </cell>
        </row>
        <row r="2548">
          <cell r="F2548" t="str">
            <v>Palem kuning di Polybag 50
Liter</v>
          </cell>
          <cell r="G2548" t="str">
            <v xml:space="preserve">Buah </v>
          </cell>
          <cell r="H2548">
            <v>102700</v>
          </cell>
        </row>
        <row r="2549">
          <cell r="F2549" t="str">
            <v>Palem kuning di Polybag 75
Liter</v>
          </cell>
          <cell r="G2549" t="str">
            <v>Buah</v>
          </cell>
          <cell r="H2549">
            <v>205400</v>
          </cell>
        </row>
        <row r="2550">
          <cell r="F2550" t="str">
            <v>Palem Merah/ Pinang Merah di
Polybag 50 Liter</v>
          </cell>
          <cell r="G2550" t="str">
            <v xml:space="preserve">Buah </v>
          </cell>
          <cell r="H2550">
            <v>256800</v>
          </cell>
        </row>
        <row r="2551">
          <cell r="F2551" t="str">
            <v>Palem waregu di Polybag 50 Liter</v>
          </cell>
          <cell r="G2551" t="str">
            <v xml:space="preserve">Buah </v>
          </cell>
          <cell r="H2551" t="str">
            <v>X</v>
          </cell>
        </row>
        <row r="2552">
          <cell r="F2552" t="str">
            <v>Palem waregu di Polybag 75 Liter</v>
          </cell>
          <cell r="G2552" t="str">
            <v xml:space="preserve">Buah </v>
          </cell>
          <cell r="H2552" t="str">
            <v>X</v>
          </cell>
        </row>
        <row r="2553">
          <cell r="F2553" t="str">
            <v>Sikas Halus/Mawar Jambe di Polybag 50 Liter</v>
          </cell>
          <cell r="G2553" t="str">
            <v>Buah</v>
          </cell>
          <cell r="H2553">
            <v>154100</v>
          </cell>
        </row>
        <row r="2554">
          <cell r="F2554" t="str">
            <v>Sikas Halus/Mawar Jambe di Polybag 75 Liter</v>
          </cell>
          <cell r="G2554" t="str">
            <v xml:space="preserve">Buah </v>
          </cell>
          <cell r="H2554">
            <v>308100</v>
          </cell>
        </row>
        <row r="2555">
          <cell r="F2555" t="str">
            <v>Palem Phoenix di Polybag 50 Liter</v>
          </cell>
          <cell r="G2555" t="str">
            <v>Buah</v>
          </cell>
          <cell r="H2555" t="str">
            <v>X</v>
          </cell>
        </row>
        <row r="2556">
          <cell r="F2556" t="str">
            <v>Palem Phoenix di Polybag 75 Liter</v>
          </cell>
          <cell r="G2556" t="str">
            <v>Buah</v>
          </cell>
          <cell r="H2556" t="str">
            <v>X</v>
          </cell>
        </row>
        <row r="2557">
          <cell r="F2557" t="str">
            <v>Palem Merah/ Pinang Merah di Polybag 75 Liter</v>
          </cell>
          <cell r="G2557" t="str">
            <v xml:space="preserve">Buah </v>
          </cell>
          <cell r="H2557">
            <v>308100</v>
          </cell>
        </row>
        <row r="2558">
          <cell r="F2558" t="str">
            <v>Palem Besar Palem Sadeng</v>
          </cell>
          <cell r="G2558" t="str">
            <v xml:space="preserve">Buah </v>
          </cell>
          <cell r="H2558" t="str">
            <v>X</v>
          </cell>
        </row>
        <row r="2559">
          <cell r="F2559" t="str">
            <v>Semak Alamanda di Polybag 5 Liter</v>
          </cell>
          <cell r="G2559" t="str">
            <v xml:space="preserve">Polybag </v>
          </cell>
          <cell r="H2559">
            <v>30900</v>
          </cell>
        </row>
        <row r="2560">
          <cell r="F2560" t="str">
            <v>Semak Alamanda di Polybag 11 Liter</v>
          </cell>
          <cell r="G2560" t="str">
            <v xml:space="preserve">Polybag </v>
          </cell>
          <cell r="H2560">
            <v>68700</v>
          </cell>
        </row>
        <row r="2561">
          <cell r="F2561" t="str">
            <v>Semak Alamanda di Polybag 20 Liter</v>
          </cell>
          <cell r="G2561" t="str">
            <v xml:space="preserve">Polybag </v>
          </cell>
          <cell r="H2561">
            <v>82500</v>
          </cell>
        </row>
        <row r="2562">
          <cell r="F2562" t="str">
            <v>Semak Alamanda/Bunga
terompet emas di Polybag 5
Liter</v>
          </cell>
          <cell r="G2562" t="str">
            <v>Buah</v>
          </cell>
          <cell r="H2562">
            <v>5220</v>
          </cell>
        </row>
        <row r="2563">
          <cell r="F2563" t="str">
            <v>Semak Alamanda/Bunga
terompet emas di Polybag 11
Liter</v>
          </cell>
          <cell r="G2563" t="str">
            <v xml:space="preserve">Buah </v>
          </cell>
          <cell r="H2563">
            <v>6811.1111111111113</v>
          </cell>
        </row>
        <row r="2564">
          <cell r="F2564" t="str">
            <v>Semak Alamanda/Bunga
terompet emas di Polybag 20 Liter</v>
          </cell>
          <cell r="G2564" t="str">
            <v xml:space="preserve">Buah </v>
          </cell>
          <cell r="H2564">
            <v>15740</v>
          </cell>
        </row>
        <row r="2565">
          <cell r="F2565" t="str">
            <v>Semak Agave/lidah naga di
Polybag 11 Liter</v>
          </cell>
          <cell r="G2565" t="str">
            <v xml:space="preserve">Buah </v>
          </cell>
          <cell r="H2565">
            <v>1860</v>
          </cell>
        </row>
        <row r="2566">
          <cell r="F2566" t="str">
            <v>Semak Agave/lidah naga di
Polybag 20 Liter</v>
          </cell>
          <cell r="G2566" t="str">
            <v xml:space="preserve">Buah </v>
          </cell>
          <cell r="H2566">
            <v>4333.333333333333</v>
          </cell>
        </row>
        <row r="2567">
          <cell r="F2567" t="str">
            <v>Semak Bakung Lele di Polybag
5 Liter</v>
          </cell>
          <cell r="G2567" t="str">
            <v xml:space="preserve">Buah </v>
          </cell>
          <cell r="H2567">
            <v>4318.75</v>
          </cell>
        </row>
        <row r="2568">
          <cell r="F2568" t="str">
            <v>Semak Bakung Lele di
Polybag 11 Liter</v>
          </cell>
          <cell r="G2568" t="str">
            <v xml:space="preserve">Buah </v>
          </cell>
          <cell r="H2568">
            <v>1026.9230769230769</v>
          </cell>
        </row>
        <row r="2569">
          <cell r="F2569" t="str">
            <v>Semak Bakung Jawa di
Polybag 11 Liter</v>
          </cell>
          <cell r="G2569" t="str">
            <v xml:space="preserve">Buah </v>
          </cell>
          <cell r="H2569">
            <v>968.75</v>
          </cell>
        </row>
        <row r="2570">
          <cell r="F2570" t="str">
            <v>Semak Bakung Jawa di Polybag
20 Liter</v>
          </cell>
          <cell r="G2570" t="str">
            <v xml:space="preserve">Buah </v>
          </cell>
          <cell r="H2570">
            <v>5483.333333333333</v>
          </cell>
        </row>
        <row r="2571">
          <cell r="F2571" t="str">
            <v>Semak Bromelia di Polybag
11 Liter</v>
          </cell>
          <cell r="G2571" t="str">
            <v xml:space="preserve">Buah </v>
          </cell>
          <cell r="H2571">
            <v>7200</v>
          </cell>
        </row>
        <row r="2572">
          <cell r="F2572" t="str">
            <v>Semak Bromelia di Polybag 20
Liter</v>
          </cell>
          <cell r="G2572" t="str">
            <v xml:space="preserve">Buah </v>
          </cell>
          <cell r="H2572">
            <v>15433.333333333334</v>
          </cell>
        </row>
        <row r="2573">
          <cell r="F2573" t="str">
            <v>Semak Bugenvil/bunga kertas di
Polybag 20 Liter</v>
          </cell>
          <cell r="G2573" t="str">
            <v xml:space="preserve">Buah </v>
          </cell>
          <cell r="H2573">
            <v>2225</v>
          </cell>
        </row>
        <row r="2574">
          <cell r="F2574" t="str">
            <v>Semak Bunga Iris di Polybag 5
Liter</v>
          </cell>
          <cell r="G2574" t="str">
            <v xml:space="preserve">Buah </v>
          </cell>
          <cell r="H2574">
            <v>2355.5555555555557</v>
          </cell>
        </row>
        <row r="2575">
          <cell r="F2575" t="str">
            <v>Semak Bunga Terompet
Kuning di Polybag 11 Liter</v>
          </cell>
          <cell r="G2575" t="str">
            <v>Buah</v>
          </cell>
          <cell r="H2575">
            <v>5344.4444444444443</v>
          </cell>
        </row>
        <row r="2576">
          <cell r="F2576" t="str">
            <v>Semak Bunga Terompet Kuning di
Polybag 20 Liter</v>
          </cell>
          <cell r="G2576" t="str">
            <v xml:space="preserve">Buah </v>
          </cell>
          <cell r="H2576">
            <v>5625</v>
          </cell>
        </row>
        <row r="2577">
          <cell r="F2577" t="str">
            <v>Semak Calathea di Polybag 5
Liter</v>
          </cell>
          <cell r="G2577" t="str">
            <v xml:space="preserve">Buah </v>
          </cell>
          <cell r="H2577">
            <v>4012.5</v>
          </cell>
        </row>
        <row r="2578">
          <cell r="F2578" t="str">
            <v>Semak Canna di Polybag 20 Liter</v>
          </cell>
          <cell r="G2578" t="str">
            <v xml:space="preserve">Buah </v>
          </cell>
          <cell r="H2578">
            <v>4625</v>
          </cell>
        </row>
        <row r="2579">
          <cell r="F2579" t="str">
            <v>Semak Capit Udang</v>
          </cell>
          <cell r="G2579" t="str">
            <v xml:space="preserve">Buah </v>
          </cell>
          <cell r="H2579" t="str">
            <v>X</v>
          </cell>
        </row>
        <row r="2580">
          <cell r="F2580" t="str">
            <v>Semak Cendrawasih di Polybag
5 Liter</v>
          </cell>
          <cell r="G2580" t="str">
            <v xml:space="preserve">Buah </v>
          </cell>
          <cell r="H2580">
            <v>2163.8888888888887</v>
          </cell>
        </row>
        <row r="2581">
          <cell r="F2581" t="str">
            <v>Semak Costus di Polybag 11
Liter</v>
          </cell>
          <cell r="G2581" t="str">
            <v>Buah</v>
          </cell>
          <cell r="H2581">
            <v>5137.5</v>
          </cell>
        </row>
        <row r="2582">
          <cell r="F2582" t="str">
            <v>Semak Costus di Polybag 11
Liter</v>
          </cell>
          <cell r="G2582" t="str">
            <v>Buah</v>
          </cell>
          <cell r="H2582">
            <v>5137.5</v>
          </cell>
        </row>
        <row r="2583">
          <cell r="F2583" t="str">
            <v>Semak Dracaena ‘Song of
India’ di Polybag 11 Liter</v>
          </cell>
          <cell r="G2583" t="str">
            <v xml:space="preserve">Buah </v>
          </cell>
          <cell r="H2583">
            <v>3433.3333333333335</v>
          </cell>
        </row>
        <row r="2584">
          <cell r="F2584" t="str">
            <v>Semak Dracaena 'Song of
Jamaica' di Polybag 11 Liter</v>
          </cell>
          <cell r="G2584" t="str">
            <v xml:space="preserve">Buah </v>
          </cell>
          <cell r="H2584">
            <v>1722.2222222222222</v>
          </cell>
        </row>
        <row r="2585">
          <cell r="F2585" t="str">
            <v>Semak Dracaena ‘Song of India’ di
Polybag 20 Liter</v>
          </cell>
          <cell r="G2585" t="str">
            <v xml:space="preserve">Buah </v>
          </cell>
          <cell r="H2585">
            <v>4625</v>
          </cell>
        </row>
        <row r="2586">
          <cell r="F2586" t="str">
            <v>Semak Dracaena 'Song of
Jamaica' di Polybag 20 Liter</v>
          </cell>
          <cell r="G2586" t="str">
            <v xml:space="preserve">Buah </v>
          </cell>
          <cell r="H2586">
            <v>3858.3333333333335</v>
          </cell>
        </row>
        <row r="2587">
          <cell r="F2587" t="str">
            <v>Semak Helliconia di Polybag
11 Liter</v>
          </cell>
          <cell r="G2587" t="str">
            <v xml:space="preserve">Buah </v>
          </cell>
          <cell r="H2587">
            <v>3018.75</v>
          </cell>
        </row>
        <row r="2588">
          <cell r="F2588" t="str">
            <v>Semak Helliconia di Polybag 20
Liter</v>
          </cell>
          <cell r="G2588" t="str">
            <v xml:space="preserve">Buah </v>
          </cell>
          <cell r="H2588">
            <v>6650</v>
          </cell>
        </row>
        <row r="2589">
          <cell r="F2589" t="str">
            <v>Semak Honje/Kecombrang di
Polybag 11 Liter</v>
          </cell>
          <cell r="G2589" t="str">
            <v xml:space="preserve">Buah </v>
          </cell>
          <cell r="H2589">
            <v>3325</v>
          </cell>
        </row>
        <row r="2590">
          <cell r="F2590" t="str">
            <v>Semak Honje/Kecombrang di
Polybag 20 Liter</v>
          </cell>
          <cell r="G2590" t="str">
            <v xml:space="preserve">Buah </v>
          </cell>
          <cell r="H2590">
            <v>7533.333333333333</v>
          </cell>
        </row>
        <row r="2591">
          <cell r="F2591" t="str">
            <v>Semak Hujan Mas di Polybag 5
Liter</v>
          </cell>
          <cell r="G2591" t="str">
            <v xml:space="preserve">Buah </v>
          </cell>
          <cell r="H2591">
            <v>948</v>
          </cell>
        </row>
        <row r="2592">
          <cell r="F2592" t="str">
            <v>Semak Hujan Mas di Polybag
11 Liter</v>
          </cell>
          <cell r="G2592" t="str">
            <v xml:space="preserve">Buah </v>
          </cell>
          <cell r="H2592">
            <v>2243.75</v>
          </cell>
        </row>
        <row r="2593">
          <cell r="F2593" t="str">
            <v>Semak Hujan Mas di Polybag 20
Liter</v>
          </cell>
          <cell r="G2593" t="str">
            <v xml:space="preserve">Buah </v>
          </cell>
          <cell r="H2593">
            <v>6383.333333333333</v>
          </cell>
        </row>
        <row r="2594">
          <cell r="F2594" t="str">
            <v>Semak Kacapiring
wangi/Gardenia di Polybag 5
Liter</v>
          </cell>
          <cell r="G2594" t="str">
            <v xml:space="preserve">Buah </v>
          </cell>
          <cell r="H2594">
            <v>4348</v>
          </cell>
        </row>
        <row r="2595">
          <cell r="F2595" t="str">
            <v>Semak Kaca piring di Polybag
11 Liter</v>
          </cell>
          <cell r="G2595" t="str">
            <v>Buah</v>
          </cell>
          <cell r="H2595">
            <v>7900</v>
          </cell>
        </row>
        <row r="2596">
          <cell r="F2596" t="str">
            <v>Semak Kacapiring
wangi/Gardenia di Polybag
11 Liter</v>
          </cell>
          <cell r="G2596" t="str">
            <v xml:space="preserve">Buah </v>
          </cell>
          <cell r="H2596">
            <v>6162.5</v>
          </cell>
        </row>
        <row r="2597">
          <cell r="F2597" t="str">
            <v>Semak Kacapiring
wangi/Gardenia di Polybag 20
Liter</v>
          </cell>
          <cell r="G2597" t="str">
            <v xml:space="preserve">Buah </v>
          </cell>
          <cell r="H2597">
            <v>13691.666666666666</v>
          </cell>
        </row>
        <row r="2598">
          <cell r="F2598" t="str">
            <v>Semak Kembang sepatu di
Polybag 20 Liter</v>
          </cell>
          <cell r="G2598" t="str">
            <v xml:space="preserve">Buah </v>
          </cell>
          <cell r="H2598">
            <v>15408.333333333334</v>
          </cell>
        </row>
        <row r="2599">
          <cell r="F2599" t="str">
            <v>Semak Kemuning di Polybag 5
Liter</v>
          </cell>
          <cell r="G2599" t="str">
            <v>Buah</v>
          </cell>
          <cell r="H2599">
            <v>10272</v>
          </cell>
        </row>
        <row r="2600">
          <cell r="F2600" t="str">
            <v>Semak Kana di Polybag 11
Liter</v>
          </cell>
          <cell r="G2600" t="str">
            <v xml:space="preserve">Buah </v>
          </cell>
          <cell r="H2600">
            <v>4625</v>
          </cell>
        </row>
        <row r="2601">
          <cell r="F2601" t="str">
            <v>Semak Lili Brazil di Polybag
11 Liter</v>
          </cell>
          <cell r="G2601" t="str">
            <v xml:space="preserve">Buah </v>
          </cell>
          <cell r="H2601">
            <v>8475</v>
          </cell>
        </row>
        <row r="2602">
          <cell r="F2602" t="str">
            <v>Semak Melati Putih di Polybag
5 Liter</v>
          </cell>
          <cell r="G2602" t="str">
            <v>Buah</v>
          </cell>
          <cell r="H2602">
            <v>6676</v>
          </cell>
        </row>
        <row r="2603">
          <cell r="F2603" t="str">
            <v>Semak Melati Putih di
Polybag 11 Liter</v>
          </cell>
          <cell r="G2603" t="str">
            <v xml:space="preserve">Buah </v>
          </cell>
          <cell r="H2603">
            <v>13481.25</v>
          </cell>
        </row>
        <row r="2604">
          <cell r="F2604" t="str">
            <v>Semak Nusa Indah di
Polybag 11 Liter</v>
          </cell>
          <cell r="G2604" t="str">
            <v>Buah</v>
          </cell>
          <cell r="H2604">
            <v>30806.25</v>
          </cell>
        </row>
        <row r="2605">
          <cell r="F2605" t="str">
            <v>Semak Oleander/Bunga
Mentega di Polybag 11 Liter</v>
          </cell>
          <cell r="G2605" t="str">
            <v xml:space="preserve">Buah </v>
          </cell>
          <cell r="H2605">
            <v>15000</v>
          </cell>
        </row>
        <row r="2606">
          <cell r="F2606" t="str">
            <v>Semak Oleander/Bunga Mentega
di Polybag 20 Liter</v>
          </cell>
          <cell r="G2606" t="str">
            <v xml:space="preserve">Buah </v>
          </cell>
          <cell r="H2606">
            <v>35000</v>
          </cell>
        </row>
        <row r="2607">
          <cell r="F2607" t="str">
            <v>Semak Pandan Kuning di
Polybag 5 Liter</v>
          </cell>
          <cell r="G2607" t="str">
            <v>Buah</v>
          </cell>
          <cell r="H2607">
            <v>7188</v>
          </cell>
        </row>
        <row r="2608">
          <cell r="F2608" t="str">
            <v>Semak Penda Emas di Polybag 20
Liter</v>
          </cell>
          <cell r="G2608" t="str">
            <v xml:space="preserve">Buah </v>
          </cell>
          <cell r="H2608">
            <v>27850</v>
          </cell>
        </row>
        <row r="2609">
          <cell r="F2609" t="str">
            <v>Semak Pretty Pink di Polybag 5
Liter</v>
          </cell>
          <cell r="G2609" t="str">
            <v>Buah</v>
          </cell>
          <cell r="H2609">
            <v>4000</v>
          </cell>
        </row>
        <row r="2610">
          <cell r="F2610" t="str">
            <v>Semak Pretty Pink di Polybag
11 Liter</v>
          </cell>
          <cell r="G2610" t="str">
            <v xml:space="preserve">Buah </v>
          </cell>
          <cell r="H2610">
            <v>6000</v>
          </cell>
        </row>
        <row r="2611">
          <cell r="F2611" t="str">
            <v>Semak Puring di Polybag 11
Liter</v>
          </cell>
          <cell r="G2611" t="str">
            <v xml:space="preserve">Buah </v>
          </cell>
          <cell r="H2611">
            <v>10268.75</v>
          </cell>
        </row>
        <row r="2612">
          <cell r="F2612" t="str">
            <v>Semak Puring di Polybag 20 Liter</v>
          </cell>
          <cell r="G2612" t="str">
            <v xml:space="preserve">Buah </v>
          </cell>
          <cell r="H2612">
            <v>27900</v>
          </cell>
        </row>
        <row r="2613">
          <cell r="F2613" t="str">
            <v>Semak Ruelia / Kencana
Ungu di Polybag 11 Liter</v>
          </cell>
          <cell r="G2613" t="str">
            <v xml:space="preserve">Buah </v>
          </cell>
          <cell r="H2613">
            <v>5137.5</v>
          </cell>
        </row>
        <row r="2614">
          <cell r="F2614" t="str">
            <v>Semak Sansevieria/Lidah
Mertua di Polybag 5 Liter</v>
          </cell>
          <cell r="G2614" t="str">
            <v xml:space="preserve">Buah </v>
          </cell>
          <cell r="H2614">
            <v>3544</v>
          </cell>
        </row>
        <row r="2615">
          <cell r="F2615" t="str">
            <v>Semak Sansevieria/Lidah
Mertua di Polybag 11 Liter</v>
          </cell>
          <cell r="G2615" t="str">
            <v xml:space="preserve">Buah </v>
          </cell>
          <cell r="H2615">
            <v>8025</v>
          </cell>
        </row>
        <row r="2616">
          <cell r="F2616" t="str">
            <v>Semak Soka di Polybag 11
Liter</v>
          </cell>
          <cell r="G2616" t="str">
            <v xml:space="preserve">Buah </v>
          </cell>
          <cell r="H2616">
            <v>5137.5</v>
          </cell>
        </row>
        <row r="2617">
          <cell r="F2617" t="str">
            <v>Semak Tabernae/Mondokaki di
Polybag 5 Liter</v>
          </cell>
          <cell r="G2617" t="str">
            <v xml:space="preserve">Buah </v>
          </cell>
          <cell r="H2617">
            <v>15404</v>
          </cell>
        </row>
        <row r="2618">
          <cell r="F2618" t="str">
            <v>Semak Tabernae di Polybag
11 Liter</v>
          </cell>
          <cell r="G2618" t="str">
            <v xml:space="preserve">Buah </v>
          </cell>
          <cell r="H2618">
            <v>6000</v>
          </cell>
        </row>
        <row r="2619">
          <cell r="F2619" t="str">
            <v>Semak Tabernac di Polybag 20
Liter</v>
          </cell>
          <cell r="G2619" t="str">
            <v xml:space="preserve">Buah </v>
          </cell>
          <cell r="H2619">
            <v>7500</v>
          </cell>
        </row>
        <row r="2620">
          <cell r="F2620" t="str">
            <v>Semak Walisongo/Umbrella
tree di Polybag 5 Liter</v>
          </cell>
          <cell r="G2620" t="str">
            <v xml:space="preserve">Buah </v>
          </cell>
          <cell r="H2620">
            <v>5000</v>
          </cell>
        </row>
        <row r="2621">
          <cell r="F2621" t="str">
            <v>Semak Walisongo/Umbrella
Tree di Polybag 11 Liter</v>
          </cell>
          <cell r="G2621" t="str">
            <v xml:space="preserve">Buah </v>
          </cell>
          <cell r="H2621">
            <v>7000</v>
          </cell>
        </row>
        <row r="2622">
          <cell r="F2622" t="str">
            <v>Semak Walisongo/Umbrella Tree
di Polybag 20 Liter</v>
          </cell>
          <cell r="G2622" t="str">
            <v xml:space="preserve">Buah </v>
          </cell>
          <cell r="H2622">
            <v>8500</v>
          </cell>
        </row>
        <row r="2623">
          <cell r="F2623" t="str">
            <v xml:space="preserve">Penutup Tanah Kacang Hias </v>
          </cell>
          <cell r="G2623" t="str">
            <v>m2</v>
          </cell>
          <cell r="H2623">
            <v>155000</v>
          </cell>
        </row>
        <row r="2624">
          <cell r="F2624" t="str">
            <v>Penutup Tanah Kacang hias di Polybag 0.5 Liter</v>
          </cell>
          <cell r="G2624" t="str">
            <v>m2</v>
          </cell>
          <cell r="H2624">
            <v>155000</v>
          </cell>
        </row>
        <row r="2625">
          <cell r="F2625" t="str">
            <v>Penutup Tanah Kucai Mini di Polybag 0.5 Liter</v>
          </cell>
          <cell r="G2625" t="str">
            <v>m2</v>
          </cell>
          <cell r="H2625">
            <v>775000</v>
          </cell>
        </row>
        <row r="2626">
          <cell r="F2626" t="str">
            <v>Penutup Tanah Lantana di Polybag 0.5 Liter</v>
          </cell>
          <cell r="G2626" t="str">
            <v>m2</v>
          </cell>
          <cell r="H2626">
            <v>775000</v>
          </cell>
        </row>
        <row r="2627">
          <cell r="F2627" t="str">
            <v>Penutup Tanah Sutra bombay di Polybag 0.5 Liter</v>
          </cell>
          <cell r="G2627" t="str">
            <v>m2</v>
          </cell>
          <cell r="H2627">
            <v>415000</v>
          </cell>
        </row>
        <row r="2628">
          <cell r="F2628" t="str">
            <v>Penutup Tanah Widelia di Polybag 0.5 Liter</v>
          </cell>
          <cell r="G2628" t="str">
            <v>m2</v>
          </cell>
          <cell r="H2628">
            <v>810000</v>
          </cell>
        </row>
        <row r="2629">
          <cell r="F2629" t="str">
            <v>Rumput embun</v>
          </cell>
          <cell r="G2629" t="str">
            <v>m2</v>
          </cell>
          <cell r="H2629">
            <v>41600</v>
          </cell>
        </row>
        <row r="2630">
          <cell r="F2630" t="str">
            <v>Rumput gajah</v>
          </cell>
          <cell r="G2630" t="str">
            <v>m2</v>
          </cell>
          <cell r="H2630">
            <v>46300</v>
          </cell>
        </row>
        <row r="2631">
          <cell r="F2631" t="str">
            <v>Rumput Gajah Mini</v>
          </cell>
          <cell r="G2631" t="str">
            <v>m2</v>
          </cell>
          <cell r="H2631">
            <v>44100</v>
          </cell>
        </row>
        <row r="2632">
          <cell r="F2632" t="str">
            <v>Rumput peking</v>
          </cell>
          <cell r="G2632" t="str">
            <v>m2</v>
          </cell>
          <cell r="H2632">
            <v>30900</v>
          </cell>
        </row>
        <row r="2633">
          <cell r="F2633" t="str">
            <v xml:space="preserve">Matras Tipe I, Termasuk angkur / penguat matras </v>
          </cell>
          <cell r="G2633" t="str">
            <v>m2</v>
          </cell>
          <cell r="H2633">
            <v>5600</v>
          </cell>
        </row>
        <row r="2634">
          <cell r="F2634" t="str">
            <v xml:space="preserve">Perekat Campuran Hydroseeding </v>
          </cell>
          <cell r="G2634" t="str">
            <v>kg</v>
          </cell>
          <cell r="H2634">
            <v>16000</v>
          </cell>
        </row>
        <row r="2635">
          <cell r="F2635" t="str">
            <v>Bibit Vegetasi (Biji Rumput)</v>
          </cell>
          <cell r="G2635" t="str">
            <v>kg</v>
          </cell>
          <cell r="H2635">
            <v>80000</v>
          </cell>
        </row>
        <row r="2636">
          <cell r="F2636" t="str">
            <v xml:space="preserve">Mulsa </v>
          </cell>
          <cell r="G2636" t="str">
            <v>kg</v>
          </cell>
          <cell r="H2636">
            <v>35000</v>
          </cell>
        </row>
        <row r="2637">
          <cell r="F2637" t="str">
            <v>Pupuk anorganik *)</v>
          </cell>
          <cell r="G2637" t="str">
            <v>kg</v>
          </cell>
          <cell r="H2637" t="str">
            <v>X</v>
          </cell>
        </row>
        <row r="2638">
          <cell r="F2638" t="str">
            <v>Pupuk anorganik (ex: NPK)</v>
          </cell>
          <cell r="G2638" t="str">
            <v>m3</v>
          </cell>
          <cell r="H2638" t="str">
            <v>X</v>
          </cell>
        </row>
        <row r="2639">
          <cell r="F2639" t="str">
            <v>Pupuk anorganik cair (ex: NPK)</v>
          </cell>
          <cell r="G2639" t="str">
            <v>M3</v>
          </cell>
          <cell r="H2639" t="str">
            <v>X</v>
          </cell>
        </row>
        <row r="2640">
          <cell r="F2640" t="str">
            <v xml:space="preserve">Pupuk anorganik padat </v>
          </cell>
          <cell r="G2640" t="str">
            <v>m3</v>
          </cell>
          <cell r="H2640" t="str">
            <v>X</v>
          </cell>
        </row>
        <row r="2641">
          <cell r="F2641" t="str">
            <v>Perekat Matras Perkuatan (Lem)</v>
          </cell>
          <cell r="G2641" t="str">
            <v>kg</v>
          </cell>
          <cell r="H2641">
            <v>15500</v>
          </cell>
        </row>
        <row r="2642">
          <cell r="F2642" t="str">
            <v xml:space="preserve">Matras Tipe II, Termasuk angkur / penguat matras </v>
          </cell>
          <cell r="G2642" t="str">
            <v>m2</v>
          </cell>
          <cell r="H2642">
            <v>7500</v>
          </cell>
        </row>
        <row r="2643">
          <cell r="F2643" t="str">
            <v xml:space="preserve">Matras Tipe III, Termasuk angkur / penguat matras </v>
          </cell>
          <cell r="G2643" t="str">
            <v>m2</v>
          </cell>
          <cell r="H2643">
            <v>9500</v>
          </cell>
        </row>
        <row r="2644">
          <cell r="F2644" t="str">
            <v>Bibit Vegetasi (Biji Legume Crop Cover/LCC)</v>
          </cell>
          <cell r="G2644" t="str">
            <v>kg</v>
          </cell>
          <cell r="H2644">
            <v>166000</v>
          </cell>
        </row>
        <row r="2645">
          <cell r="F2645" t="str">
            <v xml:space="preserve">Material Organik </v>
          </cell>
          <cell r="G2645" t="str">
            <v>m3</v>
          </cell>
          <cell r="H2645" t="str">
            <v>X</v>
          </cell>
        </row>
        <row r="2646">
          <cell r="F2646" t="str">
            <v xml:space="preserve">Kapur </v>
          </cell>
          <cell r="G2646" t="str">
            <v xml:space="preserve">kg </v>
          </cell>
          <cell r="H2646">
            <v>23700</v>
          </cell>
        </row>
        <row r="2647">
          <cell r="F2647" t="str">
            <v xml:space="preserve">Pasir </v>
          </cell>
          <cell r="G2647" t="str">
            <v>m3</v>
          </cell>
          <cell r="H2647">
            <v>287600</v>
          </cell>
        </row>
        <row r="2648">
          <cell r="F2648" t="str">
            <v xml:space="preserve">sulfur </v>
          </cell>
          <cell r="G2648" t="str">
            <v>kg</v>
          </cell>
          <cell r="H2648">
            <v>154100</v>
          </cell>
        </row>
        <row r="2649">
          <cell r="F2649" t="str">
            <v>Air Bersih</v>
          </cell>
          <cell r="G2649" t="str">
            <v xml:space="preserve">liter </v>
          </cell>
          <cell r="H2649">
            <v>650</v>
          </cell>
        </row>
        <row r="2650">
          <cell r="F2650" t="str">
            <v>Fungisida/Insektisida</v>
          </cell>
          <cell r="G2650" t="str">
            <v xml:space="preserve">kg </v>
          </cell>
          <cell r="H2650">
            <v>256800</v>
          </cell>
        </row>
        <row r="2651">
          <cell r="F2651" t="str">
            <v>Cat Minyak</v>
          </cell>
          <cell r="G2651" t="str">
            <v xml:space="preserve">liter </v>
          </cell>
          <cell r="H2651">
            <v>105300</v>
          </cell>
        </row>
        <row r="2652">
          <cell r="F2652" t="str">
            <v>Tong Sampah 2 tabung</v>
          </cell>
          <cell r="G2652" t="str">
            <v>buah</v>
          </cell>
          <cell r="H2652">
            <v>169800</v>
          </cell>
        </row>
        <row r="2653">
          <cell r="F2653" t="str">
            <v>Besi Hollow 30x60</v>
          </cell>
          <cell r="G2653" t="str">
            <v>m3</v>
          </cell>
          <cell r="H2653">
            <v>4864.3200000000006</v>
          </cell>
        </row>
        <row r="2654">
          <cell r="F2654" t="str">
            <v xml:space="preserve">Tali/pengikat sejenisnya </v>
          </cell>
          <cell r="G2654" t="str">
            <v>m</v>
          </cell>
          <cell r="H2654">
            <v>1200</v>
          </cell>
        </row>
        <row r="2655">
          <cell r="F2655" t="str">
            <v>Sewa Lahan</v>
          </cell>
          <cell r="G2655" t="str">
            <v>m2</v>
          </cell>
          <cell r="H2655">
            <v>1000000</v>
          </cell>
        </row>
        <row r="2656">
          <cell r="F2656" t="str">
            <v>Aspal Bitumen</v>
          </cell>
          <cell r="G2656" t="str">
            <v>Kg</v>
          </cell>
          <cell r="H2656" t="str">
            <v>X</v>
          </cell>
        </row>
        <row r="2657">
          <cell r="F2657" t="str">
            <v>Aspal Panas</v>
          </cell>
          <cell r="G2657" t="str">
            <v>Kg</v>
          </cell>
          <cell r="H2657" t="str">
            <v>X</v>
          </cell>
        </row>
        <row r="2658">
          <cell r="F2658" t="str">
            <v>Kayu Bakar</v>
          </cell>
          <cell r="G2658" t="str">
            <v>m³</v>
          </cell>
          <cell r="H2658">
            <v>31900</v>
          </cell>
        </row>
        <row r="2659">
          <cell r="F2659" t="str">
            <v>Amparan 2/3, t = 5 cm Digilas</v>
          </cell>
          <cell r="G2659" t="str">
            <v>m²</v>
          </cell>
          <cell r="H2659" t="str">
            <v>X</v>
          </cell>
        </row>
        <row r="2660">
          <cell r="F2660" t="str">
            <v>Lapisan Pengisi</v>
          </cell>
          <cell r="G2660" t="str">
            <v>m²</v>
          </cell>
          <cell r="H2660" t="str">
            <v>X</v>
          </cell>
        </row>
        <row r="2661">
          <cell r="F2661" t="str">
            <v>Lapisan Aspal</v>
          </cell>
          <cell r="G2661" t="str">
            <v>m²</v>
          </cell>
          <cell r="H2661" t="str">
            <v>X</v>
          </cell>
        </row>
        <row r="2662">
          <cell r="H2662" t="str">
            <v>X</v>
          </cell>
        </row>
        <row r="2663">
          <cell r="F2663" t="str">
            <v>Alat Bantu (Kunci Pipa : 2, Balok)</v>
          </cell>
          <cell r="G2663" t="str">
            <v>Lot</v>
          </cell>
          <cell r="H2663" t="str">
            <v>X</v>
          </cell>
        </row>
        <row r="2664">
          <cell r="F2664" t="str">
            <v>Alat Bantu/ AN 114</v>
          </cell>
          <cell r="G2664" t="str">
            <v>Ls</v>
          </cell>
          <cell r="H2664" t="str">
            <v>X</v>
          </cell>
        </row>
        <row r="2665">
          <cell r="F2665" t="str">
            <v>Alat Boring Manual</v>
          </cell>
          <cell r="G2665" t="str">
            <v>Jam</v>
          </cell>
          <cell r="H2665" t="str">
            <v>X</v>
          </cell>
        </row>
        <row r="2666">
          <cell r="F2666" t="str">
            <v xml:space="preserve">Alat las listrik </v>
          </cell>
          <cell r="G2666" t="str">
            <v xml:space="preserve">jam </v>
          </cell>
          <cell r="H2666">
            <v>78914.28571428571</v>
          </cell>
        </row>
        <row r="2667">
          <cell r="F2667" t="str">
            <v>Alat las listrik 150 A</v>
          </cell>
          <cell r="G2667" t="str">
            <v xml:space="preserve">jam </v>
          </cell>
          <cell r="H2667" t="str">
            <v>X</v>
          </cell>
        </row>
        <row r="2668">
          <cell r="F2668" t="str">
            <v>Alat las listrik 250 A</v>
          </cell>
          <cell r="G2668" t="str">
            <v xml:space="preserve">jam </v>
          </cell>
          <cell r="H2668" t="str">
            <v>X</v>
          </cell>
        </row>
        <row r="2669">
          <cell r="F2669" t="str">
            <v>Alat las listrik 350 A</v>
          </cell>
          <cell r="G2669" t="str">
            <v xml:space="preserve">jam </v>
          </cell>
          <cell r="H2669" t="str">
            <v>X</v>
          </cell>
        </row>
        <row r="2670">
          <cell r="F2670" t="str">
            <v>Alat las listrik 500 A</v>
          </cell>
          <cell r="G2670" t="str">
            <v xml:space="preserve">jam </v>
          </cell>
          <cell r="H2670" t="str">
            <v>X</v>
          </cell>
        </row>
        <row r="2671">
          <cell r="F2671" t="str">
            <v>Alat pancang Hidraulik Pile Driver</v>
          </cell>
          <cell r="G2671" t="str">
            <v xml:space="preserve">hari </v>
          </cell>
          <cell r="H2671" t="str">
            <v>X</v>
          </cell>
        </row>
        <row r="2672">
          <cell r="F2672" t="str">
            <v>Alat Pancang Mini Pile</v>
          </cell>
          <cell r="G2672" t="str">
            <v xml:space="preserve">hari </v>
          </cell>
          <cell r="H2672" t="str">
            <v>X</v>
          </cell>
        </row>
        <row r="2673">
          <cell r="F2673" t="str">
            <v>Alat Penyambung Balok</v>
          </cell>
          <cell r="G2673" t="str">
            <v xml:space="preserve">buah </v>
          </cell>
          <cell r="H2673" t="str">
            <v>X</v>
          </cell>
        </row>
        <row r="2674">
          <cell r="F2674" t="str">
            <v xml:space="preserve">Alat Penyambung Beton </v>
          </cell>
          <cell r="G2674" t="str">
            <v xml:space="preserve">buah </v>
          </cell>
          <cell r="H2674" t="str">
            <v>X</v>
          </cell>
        </row>
        <row r="2675">
          <cell r="F2675" t="str">
            <v>Alat Penyambung Beton dia. 30 cm</v>
          </cell>
          <cell r="G2675" t="str">
            <v xml:space="preserve">buah </v>
          </cell>
          <cell r="H2675" t="str">
            <v>X</v>
          </cell>
        </row>
        <row r="2676">
          <cell r="F2676" t="str">
            <v>Alat Penyambung Beton dia. 35 cm</v>
          </cell>
          <cell r="G2676" t="str">
            <v xml:space="preserve">buah </v>
          </cell>
          <cell r="H2676" t="str">
            <v>X</v>
          </cell>
        </row>
        <row r="2677">
          <cell r="F2677" t="str">
            <v>Alat  penyambung tiang pancang dolken</v>
          </cell>
          <cell r="G2677" t="str">
            <v>hari</v>
          </cell>
          <cell r="H2677" t="str">
            <v>X</v>
          </cell>
        </row>
        <row r="2678">
          <cell r="F2678" t="str">
            <v>Alat sambung kayu terbuat dari baja</v>
          </cell>
          <cell r="G2678" t="str">
            <v xml:space="preserve">buah </v>
          </cell>
          <cell r="H2678">
            <v>19500</v>
          </cell>
        </row>
        <row r="2679">
          <cell r="F2679" t="str">
            <v xml:space="preserve">AMP </v>
          </cell>
          <cell r="G2679" t="str">
            <v xml:space="preserve">Jam </v>
          </cell>
          <cell r="H2679">
            <v>10488800</v>
          </cell>
        </row>
        <row r="2680">
          <cell r="F2680" t="str">
            <v xml:space="preserve">Angkur M16 </v>
          </cell>
          <cell r="G2680" t="str">
            <v xml:space="preserve">buah </v>
          </cell>
          <cell r="H2680">
            <v>18200</v>
          </cell>
        </row>
        <row r="2681">
          <cell r="F2681" t="str">
            <v>Angkur/mur/baut</v>
          </cell>
          <cell r="G2681" t="str">
            <v>set</v>
          </cell>
          <cell r="H2681" t="str">
            <v>X</v>
          </cell>
        </row>
        <row r="2682">
          <cell r="F2682" t="str">
            <v>Asphalt  finisher</v>
          </cell>
          <cell r="G2682" t="str">
            <v>jam</v>
          </cell>
          <cell r="H2682">
            <v>770100</v>
          </cell>
        </row>
        <row r="2683">
          <cell r="F2683" t="str">
            <v>Asphalt  liquid mixer 1000 ℓ</v>
          </cell>
          <cell r="G2683" t="str">
            <v>jam</v>
          </cell>
          <cell r="H2683">
            <v>347100</v>
          </cell>
        </row>
        <row r="2684">
          <cell r="F2684" t="str">
            <v>Asphalt  mixing plant</v>
          </cell>
          <cell r="G2684" t="str">
            <v>jam</v>
          </cell>
          <cell r="H2684">
            <v>10488800</v>
          </cell>
        </row>
        <row r="2685">
          <cell r="F2685" t="str">
            <v>Asphalt  sprayer 850 ℓ</v>
          </cell>
          <cell r="G2685" t="str">
            <v>jam</v>
          </cell>
          <cell r="H2685">
            <v>155300</v>
          </cell>
        </row>
        <row r="2686">
          <cell r="F2686" t="str">
            <v>Asphalt Distributor</v>
          </cell>
          <cell r="G2686" t="str">
            <v>jam</v>
          </cell>
          <cell r="H2686">
            <v>558000</v>
          </cell>
        </row>
        <row r="2687">
          <cell r="F2687" t="str">
            <v xml:space="preserve">Asphalt Finisher </v>
          </cell>
          <cell r="G2687" t="str">
            <v xml:space="preserve">Jam </v>
          </cell>
          <cell r="H2687">
            <v>770100</v>
          </cell>
        </row>
        <row r="2688">
          <cell r="F2688" t="str">
            <v>Asphalt or Concrete breaker lengkap</v>
          </cell>
          <cell r="G2688" t="str">
            <v>Jam</v>
          </cell>
          <cell r="H2688">
            <v>1212100</v>
          </cell>
        </row>
        <row r="2689">
          <cell r="F2689" t="str">
            <v>Asphalt/ Concrete Cutter</v>
          </cell>
          <cell r="G2689" t="str">
            <v>Jam</v>
          </cell>
          <cell r="H2689">
            <v>141900</v>
          </cell>
        </row>
        <row r="2690">
          <cell r="F2690" t="str">
            <v>Bender baja beton</v>
          </cell>
          <cell r="G2690" t="str">
            <v>hari</v>
          </cell>
          <cell r="H2690">
            <v>746600</v>
          </cell>
        </row>
        <row r="2691">
          <cell r="F2691" t="str">
            <v>Beton Neser</v>
          </cell>
          <cell r="G2691" t="str">
            <v>batang</v>
          </cell>
          <cell r="H2691" t="str">
            <v>X</v>
          </cell>
        </row>
        <row r="2692">
          <cell r="F2692" t="str">
            <v>Blending equipment</v>
          </cell>
          <cell r="G2692" t="str">
            <v>jam</v>
          </cell>
          <cell r="H2692">
            <v>211300</v>
          </cell>
        </row>
        <row r="2693">
          <cell r="F2693" t="str">
            <v>Blincong/Bangkil</v>
          </cell>
          <cell r="G2693" t="str">
            <v>Jam</v>
          </cell>
          <cell r="H2693" t="str">
            <v>X</v>
          </cell>
        </row>
        <row r="2694">
          <cell r="F2694" t="str">
            <v xml:space="preserve">Boom Lift </v>
          </cell>
          <cell r="G2694" t="str">
            <v>hari</v>
          </cell>
          <cell r="H2694" t="str">
            <v>X</v>
          </cell>
        </row>
        <row r="2695">
          <cell r="F2695" t="str">
            <v>Bore pile machine</v>
          </cell>
          <cell r="G2695" t="str">
            <v>jam</v>
          </cell>
          <cell r="H2695">
            <v>1548000</v>
          </cell>
        </row>
        <row r="2696">
          <cell r="F2696" t="str">
            <v>BP (Biaya Penyambungan)</v>
          </cell>
          <cell r="G2696" t="str">
            <v>VA</v>
          </cell>
          <cell r="H2696" t="str">
            <v>X</v>
          </cell>
        </row>
        <row r="2697">
          <cell r="F2697" t="str">
            <v>Alat  bantu</v>
          </cell>
          <cell r="G2697" t="str">
            <v>set</v>
          </cell>
          <cell r="H2697" t="str">
            <v>X</v>
          </cell>
        </row>
        <row r="2698">
          <cell r="F2698" t="str">
            <v>Alat  pancang Hammer 0.5 ton</v>
          </cell>
          <cell r="G2698" t="str">
            <v>hari</v>
          </cell>
          <cell r="H2698" t="str">
            <v>X</v>
          </cell>
        </row>
        <row r="2699">
          <cell r="F2699" t="str">
            <v>Bulldozer 100-150 HP</v>
          </cell>
          <cell r="G2699" t="str">
            <v>jam</v>
          </cell>
          <cell r="H2699">
            <v>808600</v>
          </cell>
        </row>
        <row r="2700">
          <cell r="F2700" t="str">
            <v>Chain saw</v>
          </cell>
          <cell r="G2700" t="str">
            <v>jam</v>
          </cell>
          <cell r="H2700">
            <v>39200</v>
          </cell>
        </row>
        <row r="2701">
          <cell r="F2701" t="str">
            <v>Chainsaw 20”; 5,5HP</v>
          </cell>
          <cell r="G2701" t="str">
            <v>hari</v>
          </cell>
          <cell r="H2701">
            <v>388300</v>
          </cell>
        </row>
        <row r="2702">
          <cell r="F2702" t="str">
            <v>Chainsaw 30”; 7,5HP</v>
          </cell>
          <cell r="G2702" t="str">
            <v>hari</v>
          </cell>
          <cell r="H2702">
            <v>411500</v>
          </cell>
        </row>
        <row r="2703">
          <cell r="F2703" t="str">
            <v>Cold milling machine</v>
          </cell>
          <cell r="G2703" t="str">
            <v>jam</v>
          </cell>
          <cell r="H2703">
            <v>411500</v>
          </cell>
        </row>
        <row r="2704">
          <cell r="F2704" t="str">
            <v>Colt T-120 (D); R-Blk. 4; 12 m3</v>
          </cell>
          <cell r="G2704" t="str">
            <v>jam</v>
          </cell>
          <cell r="H2704">
            <v>494000</v>
          </cell>
        </row>
        <row r="2705">
          <cell r="F2705" t="str">
            <v>Compresor 210 m²/ Jam</v>
          </cell>
          <cell r="G2705" t="str">
            <v>Jam</v>
          </cell>
          <cell r="H2705">
            <v>682300</v>
          </cell>
        </row>
        <row r="2706">
          <cell r="F2706" t="str">
            <v>Compressor 4000-6500 ℓ\m</v>
          </cell>
          <cell r="G2706" t="str">
            <v>jam</v>
          </cell>
          <cell r="H2706">
            <v>279000</v>
          </cell>
        </row>
        <row r="2707">
          <cell r="F2707" t="str">
            <v>Compressor bor</v>
          </cell>
          <cell r="G2707" t="str">
            <v>unit</v>
          </cell>
          <cell r="H2707" t="str">
            <v>X</v>
          </cell>
        </row>
        <row r="2708">
          <cell r="F2708" t="str">
            <v>Concrete mixer 350 ℓ</v>
          </cell>
          <cell r="G2708" t="str">
            <v>jam</v>
          </cell>
          <cell r="H2708">
            <v>114100</v>
          </cell>
        </row>
        <row r="2709">
          <cell r="F2709" t="str">
            <v>Concrete mixer 500 ℓ</v>
          </cell>
          <cell r="G2709" t="str">
            <v>jam</v>
          </cell>
          <cell r="H2709">
            <v>132700</v>
          </cell>
        </row>
        <row r="2710">
          <cell r="F2710" t="str">
            <v>Concrete mixer truck 5 m³</v>
          </cell>
          <cell r="G2710" t="str">
            <v>jam</v>
          </cell>
          <cell r="H2710" t="str">
            <v>X</v>
          </cell>
        </row>
        <row r="2711">
          <cell r="F2711" t="str">
            <v>Concrete pan mixer</v>
          </cell>
          <cell r="G2711" t="str">
            <v>jam</v>
          </cell>
          <cell r="H2711">
            <v>923900</v>
          </cell>
        </row>
        <row r="2712">
          <cell r="F2712" t="str">
            <v>Concrete pump</v>
          </cell>
          <cell r="G2712" t="str">
            <v>jam</v>
          </cell>
          <cell r="H2712">
            <v>368500</v>
          </cell>
        </row>
        <row r="2713">
          <cell r="F2713" t="str">
            <v>Concrete slip form paver</v>
          </cell>
          <cell r="G2713" t="str">
            <v>jam</v>
          </cell>
          <cell r="H2713">
            <v>704800</v>
          </cell>
        </row>
        <row r="2714">
          <cell r="F2714" t="str">
            <v>Concrete vibrator</v>
          </cell>
          <cell r="G2714" t="str">
            <v>hari</v>
          </cell>
          <cell r="H2714">
            <v>559200</v>
          </cell>
        </row>
        <row r="2715">
          <cell r="F2715" t="str">
            <v xml:space="preserve">Crane </v>
          </cell>
          <cell r="G2715" t="str">
            <v xml:space="preserve">hari </v>
          </cell>
          <cell r="H2715">
            <v>1100400</v>
          </cell>
        </row>
        <row r="2716">
          <cell r="F2716" t="str">
            <v xml:space="preserve">Crane </v>
          </cell>
          <cell r="G2716" t="str">
            <v xml:space="preserve">jam </v>
          </cell>
          <cell r="H2716">
            <v>157200</v>
          </cell>
        </row>
        <row r="2717">
          <cell r="F2717" t="str">
            <v>Crane on track 35 ton</v>
          </cell>
          <cell r="G2717" t="str">
            <v>jam</v>
          </cell>
          <cell r="H2717">
            <v>157200</v>
          </cell>
        </row>
        <row r="2718">
          <cell r="F2718" t="str">
            <v>Crane on wheel 10-15 ton</v>
          </cell>
          <cell r="G2718" t="str">
            <v>jam</v>
          </cell>
          <cell r="H2718">
            <v>188500</v>
          </cell>
        </row>
        <row r="2719">
          <cell r="F2719" t="str">
            <v>Crane Truck 3 ton; Winch 5 Ton</v>
          </cell>
          <cell r="G2719" t="str">
            <v>jam</v>
          </cell>
          <cell r="H2719">
            <v>428571</v>
          </cell>
        </row>
        <row r="2720">
          <cell r="F2720" t="str">
            <v>Crawler Crane 10 Ton + Ladder 14 ton</v>
          </cell>
          <cell r="G2720" t="str">
            <v xml:space="preserve">jam </v>
          </cell>
          <cell r="H2720" t="str">
            <v>X</v>
          </cell>
        </row>
        <row r="2721">
          <cell r="F2721" t="str">
            <v>Crawler Crane 20 Ton + Ladder 14 ton</v>
          </cell>
          <cell r="G2721" t="str">
            <v xml:space="preserve">jam </v>
          </cell>
          <cell r="H2721" t="str">
            <v>X</v>
          </cell>
        </row>
        <row r="2722">
          <cell r="F2722" t="str">
            <v>Cutter baja beton</v>
          </cell>
          <cell r="G2722" t="str">
            <v>hari</v>
          </cell>
          <cell r="H2722">
            <v>96000</v>
          </cell>
        </row>
        <row r="2723">
          <cell r="F2723" t="str">
            <v>Cutting machine</v>
          </cell>
          <cell r="G2723" t="str">
            <v>jam</v>
          </cell>
          <cell r="H2723" t="str">
            <v>X</v>
          </cell>
        </row>
        <row r="2724">
          <cell r="F2724" t="str">
            <v>Cutting stiker +  pasang</v>
          </cell>
          <cell r="G2724" t="str">
            <v>buah</v>
          </cell>
          <cell r="H2724" t="str">
            <v>X</v>
          </cell>
        </row>
        <row r="2725">
          <cell r="F2725" t="str">
            <v>Depresiasi alat  compressor</v>
          </cell>
          <cell r="G2725" t="str">
            <v>hari</v>
          </cell>
          <cell r="H2725" t="str">
            <v>X</v>
          </cell>
        </row>
        <row r="2726">
          <cell r="F2726" t="str">
            <v>Depresiasi mesin pompa uji</v>
          </cell>
          <cell r="G2726" t="str">
            <v>hari</v>
          </cell>
          <cell r="H2726" t="str">
            <v>X</v>
          </cell>
        </row>
        <row r="2727">
          <cell r="F2727" t="str">
            <v>Depresiasi peralatan pemboran</v>
          </cell>
          <cell r="G2727" t="str">
            <v>hari</v>
          </cell>
          <cell r="H2727" t="str">
            <v>X</v>
          </cell>
        </row>
        <row r="2728">
          <cell r="F2728" t="str">
            <v>Drain Pump</v>
          </cell>
          <cell r="G2728" t="str">
            <v>Jam</v>
          </cell>
          <cell r="H2728" t="str">
            <v>X</v>
          </cell>
        </row>
        <row r="2729">
          <cell r="F2729" t="str">
            <v>Driver Hammer</v>
          </cell>
          <cell r="G2729" t="str">
            <v xml:space="preserve">jam </v>
          </cell>
          <cell r="H2729" t="str">
            <v>X</v>
          </cell>
        </row>
        <row r="2730">
          <cell r="F2730" t="str">
            <v>Driver Hammer 2 ton</v>
          </cell>
          <cell r="G2730" t="str">
            <v xml:space="preserve">jam </v>
          </cell>
          <cell r="H2730" t="str">
            <v>X</v>
          </cell>
        </row>
        <row r="2731">
          <cell r="F2731" t="str">
            <v>Dump truck 1</v>
          </cell>
          <cell r="G2731" t="str">
            <v>jam</v>
          </cell>
          <cell r="H2731">
            <v>299000</v>
          </cell>
        </row>
        <row r="2732">
          <cell r="F2732" t="str">
            <v>Dump truck 2</v>
          </cell>
          <cell r="G2732" t="str">
            <v>jam</v>
          </cell>
          <cell r="H2732">
            <v>299000</v>
          </cell>
        </row>
        <row r="2733">
          <cell r="F2733" t="str">
            <v>Dump truck 20 ton</v>
          </cell>
          <cell r="G2733" t="str">
            <v>jam</v>
          </cell>
          <cell r="H2733">
            <v>558000</v>
          </cell>
        </row>
        <row r="2734">
          <cell r="F2734" t="str">
            <v>Dump truck 3</v>
          </cell>
          <cell r="G2734" t="str">
            <v>jam</v>
          </cell>
          <cell r="H2734">
            <v>299000</v>
          </cell>
        </row>
        <row r="2735">
          <cell r="F2735" t="str">
            <v>Dump truck 3,5 ton</v>
          </cell>
          <cell r="G2735" t="str">
            <v>jam</v>
          </cell>
          <cell r="H2735">
            <v>299000</v>
          </cell>
        </row>
        <row r="2736">
          <cell r="F2736" t="str">
            <v>Dump truck 40 ton</v>
          </cell>
          <cell r="G2736" t="str">
            <v>jam</v>
          </cell>
          <cell r="H2736">
            <v>558000</v>
          </cell>
        </row>
        <row r="2737">
          <cell r="F2737" t="str">
            <v>Dump truck 7,5 ton</v>
          </cell>
          <cell r="G2737" t="str">
            <v>jam</v>
          </cell>
          <cell r="H2737">
            <v>558000</v>
          </cell>
        </row>
        <row r="2738">
          <cell r="F2738" t="str">
            <v xml:space="preserve">Excavator </v>
          </cell>
          <cell r="G2738" t="str">
            <v xml:space="preserve">Hari </v>
          </cell>
          <cell r="H2738" t="str">
            <v>X</v>
          </cell>
        </row>
        <row r="2739">
          <cell r="F2739" t="str">
            <v>Excavator 80-140 HP</v>
          </cell>
          <cell r="G2739" t="str">
            <v>jam</v>
          </cell>
          <cell r="H2739">
            <v>354000</v>
          </cell>
        </row>
        <row r="2740">
          <cell r="F2740" t="str">
            <v>Excavator 95 HP</v>
          </cell>
          <cell r="G2740" t="str">
            <v>jam</v>
          </cell>
          <cell r="H2740">
            <v>354000</v>
          </cell>
        </row>
        <row r="2741">
          <cell r="F2741" t="str">
            <v>Flat  bed truck 3-4 m³</v>
          </cell>
          <cell r="G2741" t="str">
            <v>jam</v>
          </cell>
          <cell r="H2741" t="str">
            <v>X</v>
          </cell>
        </row>
        <row r="2742">
          <cell r="F2742" t="str">
            <v>Flat deck truck 7 ton</v>
          </cell>
          <cell r="G2742" t="str">
            <v xml:space="preserve">hari </v>
          </cell>
          <cell r="H2742">
            <v>594000</v>
          </cell>
        </row>
        <row r="2743">
          <cell r="F2743" t="str">
            <v>Fuso (D); R-Blk. 8; 35 m3</v>
          </cell>
          <cell r="G2743" t="str">
            <v>jam</v>
          </cell>
          <cell r="H2743">
            <v>398728.57142857142</v>
          </cell>
        </row>
        <row r="2744">
          <cell r="F2744" t="str">
            <v>Generator set  135 KVA</v>
          </cell>
          <cell r="G2744" t="str">
            <v>jam</v>
          </cell>
          <cell r="H2744">
            <v>697600</v>
          </cell>
        </row>
        <row r="2745">
          <cell r="F2745" t="str">
            <v>Gergaji besi</v>
          </cell>
          <cell r="G2745" t="str">
            <v>buah</v>
          </cell>
          <cell r="H2745">
            <v>14000</v>
          </cell>
        </row>
        <row r="2746">
          <cell r="F2746" t="str">
            <v>GIL  (Gambar Instalasi Langganan), administrasi pemasangan</v>
          </cell>
          <cell r="G2746" t="str">
            <v>VA</v>
          </cell>
          <cell r="H2746" t="str">
            <v>X</v>
          </cell>
        </row>
        <row r="2747">
          <cell r="F2747" t="str">
            <v xml:space="preserve">Hoist 1 ton </v>
          </cell>
          <cell r="G2747" t="str">
            <v xml:space="preserve">hari </v>
          </cell>
          <cell r="H2747">
            <v>97900</v>
          </cell>
        </row>
        <row r="2748">
          <cell r="F2748" t="str">
            <v>Jack hammer</v>
          </cell>
          <cell r="G2748" t="str">
            <v>hari</v>
          </cell>
          <cell r="H2748">
            <v>152400</v>
          </cell>
        </row>
        <row r="2749">
          <cell r="F2749" t="str">
            <v>Jack hammer + genset</v>
          </cell>
          <cell r="G2749" t="str">
            <v>hari</v>
          </cell>
          <cell r="H2749">
            <v>397600</v>
          </cell>
        </row>
        <row r="2750">
          <cell r="F2750" t="str">
            <v xml:space="preserve">Kunci Momen </v>
          </cell>
          <cell r="G2750" t="str">
            <v>hari</v>
          </cell>
          <cell r="H2750">
            <v>211400</v>
          </cell>
        </row>
        <row r="2751">
          <cell r="F2751" t="str">
            <v>Linggis</v>
          </cell>
          <cell r="G2751" t="str">
            <v>Jam</v>
          </cell>
          <cell r="H2751" t="str">
            <v>X</v>
          </cell>
        </row>
        <row r="2752">
          <cell r="F2752" t="str">
            <v>Linggis (baja keras)</v>
          </cell>
          <cell r="G2752" t="str">
            <v>buah</v>
          </cell>
          <cell r="H2752">
            <v>104600</v>
          </cell>
        </row>
        <row r="2753">
          <cell r="F2753" t="str">
            <v>Logging</v>
          </cell>
          <cell r="G2753" t="str">
            <v>unit</v>
          </cell>
          <cell r="H2753" t="str">
            <v>X</v>
          </cell>
        </row>
        <row r="2754">
          <cell r="F2754" t="str">
            <v>Mata bor auger 20 cm</v>
          </cell>
          <cell r="G2754" t="str">
            <v>hari</v>
          </cell>
          <cell r="H2754">
            <v>100000</v>
          </cell>
        </row>
        <row r="2755">
          <cell r="F2755" t="str">
            <v>Mata bor auger 30 cm</v>
          </cell>
          <cell r="G2755" t="str">
            <v>hari</v>
          </cell>
          <cell r="H2755">
            <v>170000</v>
          </cell>
        </row>
        <row r="2756">
          <cell r="F2756" t="str">
            <v>Mata bor auger 40 cm</v>
          </cell>
          <cell r="G2756" t="str">
            <v>hari</v>
          </cell>
          <cell r="H2756">
            <v>250000</v>
          </cell>
        </row>
        <row r="2757">
          <cell r="F2757" t="str">
            <v>Mata bor auger 50 cm</v>
          </cell>
          <cell r="G2757" t="str">
            <v>hari</v>
          </cell>
          <cell r="H2757">
            <v>340000</v>
          </cell>
        </row>
        <row r="2758">
          <cell r="F2758" t="str">
            <v>Mesin bor</v>
          </cell>
          <cell r="G2758" t="str">
            <v>unit</v>
          </cell>
          <cell r="H2758">
            <v>1129600</v>
          </cell>
        </row>
        <row r="2759">
          <cell r="F2759" t="str">
            <v>Mesin bor (jam)</v>
          </cell>
          <cell r="G2759" t="str">
            <v>jam</v>
          </cell>
          <cell r="H2759">
            <v>42400</v>
          </cell>
        </row>
        <row r="2760">
          <cell r="F2760" t="str">
            <v>Mesin Gendong</v>
          </cell>
          <cell r="G2760" t="str">
            <v xml:space="preserve">Jam </v>
          </cell>
          <cell r="H2760">
            <v>150000</v>
          </cell>
        </row>
        <row r="2761">
          <cell r="F2761" t="str">
            <v>Mesin gilas  2 roda 6 - 10 ton</v>
          </cell>
          <cell r="G2761" t="str">
            <v>jam</v>
          </cell>
          <cell r="H2761" t="str">
            <v>X</v>
          </cell>
        </row>
        <row r="2762">
          <cell r="F2762" t="str">
            <v>Mesin gilas  3 roda 6 - 10 ton</v>
          </cell>
          <cell r="G2762" t="str">
            <v>jam</v>
          </cell>
          <cell r="H2762" t="str">
            <v>X</v>
          </cell>
        </row>
        <row r="2763">
          <cell r="F2763" t="str">
            <v>Mesin gilas  roda karet  8 - 10 ton</v>
          </cell>
          <cell r="G2763" t="str">
            <v>jam</v>
          </cell>
          <cell r="H2763" t="str">
            <v>X</v>
          </cell>
        </row>
        <row r="2764">
          <cell r="F2764" t="str">
            <v>Mesin kerek</v>
          </cell>
          <cell r="G2764" t="str">
            <v>unit</v>
          </cell>
          <cell r="H2764" t="str">
            <v>X</v>
          </cell>
        </row>
        <row r="2765">
          <cell r="F2765" t="str">
            <v xml:space="preserve">Mesin Las Butt Fusion </v>
          </cell>
          <cell r="G2765" t="str">
            <v>Jam</v>
          </cell>
          <cell r="H2765" t="str">
            <v>X</v>
          </cell>
        </row>
        <row r="2766">
          <cell r="F2766" t="str">
            <v>Mesin Las Gotextile</v>
          </cell>
          <cell r="G2766" t="str">
            <v xml:space="preserve">hari </v>
          </cell>
          <cell r="H2766">
            <v>68800</v>
          </cell>
        </row>
        <row r="2767">
          <cell r="F2767" t="str">
            <v>Mesin Molen 1m3</v>
          </cell>
          <cell r="G2767" t="str">
            <v xml:space="preserve">hari </v>
          </cell>
          <cell r="H2767">
            <v>397500</v>
          </cell>
        </row>
        <row r="2768">
          <cell r="F2768" t="str">
            <v>Mesin Penyemprot Aspal 200 Ltr</v>
          </cell>
          <cell r="G2768" t="str">
            <v>Jam</v>
          </cell>
          <cell r="H2768" t="str">
            <v>X</v>
          </cell>
        </row>
        <row r="2769">
          <cell r="F2769" t="str">
            <v>Mesin poles</v>
          </cell>
          <cell r="G2769" t="str">
            <v>hari</v>
          </cell>
          <cell r="H2769" t="str">
            <v>X</v>
          </cell>
        </row>
        <row r="2770">
          <cell r="F2770" t="str">
            <v>Mesin trowel</v>
          </cell>
          <cell r="G2770" t="str">
            <v>jam</v>
          </cell>
          <cell r="H2770" t="str">
            <v>X</v>
          </cell>
        </row>
        <row r="2771">
          <cell r="F2771" t="str">
            <v xml:space="preserve">Mobil Sedot Lumpur </v>
          </cell>
          <cell r="G2771" t="str">
            <v>Jam</v>
          </cell>
          <cell r="H2771">
            <v>67500</v>
          </cell>
        </row>
        <row r="2772">
          <cell r="F2772" t="str">
            <v>Molen beton mixer 350 liter</v>
          </cell>
          <cell r="G2772" t="str">
            <v>hari</v>
          </cell>
          <cell r="H2772">
            <v>237100</v>
          </cell>
        </row>
        <row r="2773">
          <cell r="F2773" t="str">
            <v>Motor grader &gt;100 HP</v>
          </cell>
          <cell r="G2773" t="str">
            <v>jam</v>
          </cell>
          <cell r="H2773">
            <v>680000</v>
          </cell>
        </row>
        <row r="2774">
          <cell r="F2774" t="str">
            <v xml:space="preserve">P. Tyre Roller </v>
          </cell>
          <cell r="G2774" t="str">
            <v xml:space="preserve">jam </v>
          </cell>
          <cell r="H2774">
            <v>613900</v>
          </cell>
        </row>
        <row r="2775">
          <cell r="F2775" t="str">
            <v>Pahat beton (baja keras)</v>
          </cell>
          <cell r="G2775" t="str">
            <v>buah</v>
          </cell>
          <cell r="H2775">
            <v>40700</v>
          </cell>
        </row>
        <row r="2776">
          <cell r="F2776" t="str">
            <v>Palu 0,5 kg</v>
          </cell>
          <cell r="G2776" t="str">
            <v>Jam</v>
          </cell>
          <cell r="H2776" t="str">
            <v>X</v>
          </cell>
        </row>
        <row r="2777">
          <cell r="F2777" t="str">
            <v>Palu/godam (baja keras)</v>
          </cell>
          <cell r="G2777" t="str">
            <v>buah</v>
          </cell>
          <cell r="H2777">
            <v>248900</v>
          </cell>
        </row>
        <row r="2778">
          <cell r="F2778" t="str">
            <v>Pedestrian Roller</v>
          </cell>
          <cell r="G2778" t="str">
            <v>jam</v>
          </cell>
          <cell r="H2778">
            <v>126500</v>
          </cell>
        </row>
        <row r="2779">
          <cell r="F2779" t="str">
            <v>Pengelasan</v>
          </cell>
          <cell r="G2779" t="str">
            <v>cm</v>
          </cell>
          <cell r="H2779">
            <v>251300</v>
          </cell>
        </row>
        <row r="2780">
          <cell r="F2780" t="str">
            <v>Perapian lokasi kerja</v>
          </cell>
          <cell r="G2780" t="str">
            <v>ls</v>
          </cell>
          <cell r="H2780" t="str">
            <v>X</v>
          </cell>
        </row>
        <row r="2781">
          <cell r="F2781" t="str">
            <v>Pick up L300</v>
          </cell>
          <cell r="G2781" t="str">
            <v>jam</v>
          </cell>
          <cell r="H2781">
            <v>167400</v>
          </cell>
        </row>
        <row r="2782">
          <cell r="F2782" t="str">
            <v>Pile driver +  hammer 2,5 ton</v>
          </cell>
          <cell r="G2782" t="str">
            <v>jam</v>
          </cell>
          <cell r="H2782">
            <v>3164900</v>
          </cell>
        </row>
        <row r="2783">
          <cell r="F2783" t="str">
            <v>Pisau Gerinda</v>
          </cell>
          <cell r="G2783" t="str">
            <v>buah</v>
          </cell>
          <cell r="H2783" t="str">
            <v>X</v>
          </cell>
        </row>
        <row r="2784">
          <cell r="F2784" t="str">
            <v>Pneumatic  tire roller 8-10 ton</v>
          </cell>
          <cell r="G2784" t="str">
            <v>jam</v>
          </cell>
          <cell r="H2784">
            <v>256000</v>
          </cell>
        </row>
        <row r="2785">
          <cell r="F2785" t="str">
            <v>Pompa Air,   diesel 10 KW</v>
          </cell>
          <cell r="G2785" t="str">
            <v>hari</v>
          </cell>
          <cell r="H2785">
            <v>497700</v>
          </cell>
        </row>
        <row r="2786">
          <cell r="F2786" t="str">
            <v>Pompa Air,   diesel 20 KW</v>
          </cell>
          <cell r="G2786" t="str">
            <v>hari</v>
          </cell>
          <cell r="H2786">
            <v>930300</v>
          </cell>
        </row>
        <row r="2787">
          <cell r="F2787" t="str">
            <v>Pompa Air,   diesel 5 KW</v>
          </cell>
          <cell r="G2787" t="str">
            <v>hari</v>
          </cell>
          <cell r="H2787" t="str">
            <v>X</v>
          </cell>
        </row>
        <row r="2788">
          <cell r="F2788" t="str">
            <v>Pompa beton ∅ 2,5", 75KW; 120 bar, T= 50 m'/H=80 m’</v>
          </cell>
          <cell r="G2788" t="str">
            <v>hari</v>
          </cell>
          <cell r="H2788" t="str">
            <v>X</v>
          </cell>
        </row>
        <row r="2789">
          <cell r="F2789" t="str">
            <v>Pompa beton ∅ 2,5",20 KW; 20 bar, T = 18 m'</v>
          </cell>
          <cell r="G2789" t="str">
            <v>hari</v>
          </cell>
          <cell r="H2789" t="str">
            <v>X</v>
          </cell>
        </row>
        <row r="2790">
          <cell r="F2790" t="str">
            <v>Pompa beton ∅ 3",140KW; 180 bar, T = 75 m' / H=150 m'</v>
          </cell>
          <cell r="G2790" t="str">
            <v>hari</v>
          </cell>
          <cell r="H2790" t="str">
            <v>X</v>
          </cell>
        </row>
        <row r="2791">
          <cell r="F2791" t="str">
            <v>Pompa beton φ 1,5";5 KW; 8 bar; T = 5 m'</v>
          </cell>
          <cell r="G2791" t="str">
            <v>hari</v>
          </cell>
          <cell r="H2791" t="str">
            <v>X</v>
          </cell>
        </row>
        <row r="2792">
          <cell r="F2792" t="str">
            <v>Pompa injeksi</v>
          </cell>
          <cell r="G2792" t="str">
            <v>unit</v>
          </cell>
          <cell r="H2792" t="str">
            <v>X</v>
          </cell>
        </row>
        <row r="2793">
          <cell r="F2793" t="str">
            <v xml:space="preserve">Pompa Lumpur </v>
          </cell>
          <cell r="G2793" t="str">
            <v xml:space="preserve">hari </v>
          </cell>
          <cell r="H2793">
            <v>313800</v>
          </cell>
        </row>
        <row r="2794">
          <cell r="F2794" t="str">
            <v>Pompa Manual, Manometer Cap, Valve &amp; Support</v>
          </cell>
          <cell r="G2794" t="str">
            <v>Ls</v>
          </cell>
          <cell r="H2794" t="str">
            <v>X</v>
          </cell>
        </row>
        <row r="2795">
          <cell r="F2795" t="str">
            <v>Pompa Sedot</v>
          </cell>
          <cell r="G2795" t="str">
            <v>hari</v>
          </cell>
          <cell r="H2795">
            <v>318200</v>
          </cell>
        </row>
        <row r="2796">
          <cell r="F2796" t="str">
            <v xml:space="preserve">Pompa Sedot Pasir </v>
          </cell>
          <cell r="G2796" t="str">
            <v xml:space="preserve">hari </v>
          </cell>
          <cell r="H2796">
            <v>318200</v>
          </cell>
        </row>
        <row r="2797">
          <cell r="F2797" t="str">
            <v>Pompa submesible</v>
          </cell>
          <cell r="G2797" t="str">
            <v>unit</v>
          </cell>
          <cell r="H2797" t="str">
            <v>X</v>
          </cell>
        </row>
        <row r="2798">
          <cell r="F2798" t="str">
            <v>Pompa tangan</v>
          </cell>
          <cell r="G2798" t="str">
            <v>unit</v>
          </cell>
          <cell r="H2798" t="str">
            <v>X</v>
          </cell>
        </row>
        <row r="2799">
          <cell r="F2799" t="str">
            <v>Pressure grout machine 30 KW; 60 -75 bar (D)</v>
          </cell>
          <cell r="G2799" t="str">
            <v>jam</v>
          </cell>
          <cell r="H2799">
            <v>42000</v>
          </cell>
        </row>
        <row r="2800">
          <cell r="F2800" t="str">
            <v>Road Marking Machine</v>
          </cell>
          <cell r="G2800" t="str">
            <v>jam</v>
          </cell>
          <cell r="H2800" t="str">
            <v>X</v>
          </cell>
        </row>
        <row r="2801">
          <cell r="F2801" t="str">
            <v>Sepatu pancang</v>
          </cell>
          <cell r="G2801" t="str">
            <v xml:space="preserve">buah </v>
          </cell>
          <cell r="H2801">
            <v>4700</v>
          </cell>
        </row>
        <row r="2802">
          <cell r="F2802" t="str">
            <v>Sepatu pancang beton</v>
          </cell>
          <cell r="G2802" t="str">
            <v xml:space="preserve">buah </v>
          </cell>
          <cell r="H2802" t="str">
            <v>X</v>
          </cell>
        </row>
        <row r="2803">
          <cell r="F2803" t="str">
            <v>Sepatu Pancang dia. 30 cm</v>
          </cell>
          <cell r="G2803" t="str">
            <v xml:space="preserve">buah </v>
          </cell>
          <cell r="H2803" t="str">
            <v>X</v>
          </cell>
        </row>
        <row r="2804">
          <cell r="F2804" t="str">
            <v>Sepatu Pancang dia. 35 cm</v>
          </cell>
          <cell r="G2804" t="str">
            <v xml:space="preserve">buah </v>
          </cell>
          <cell r="H2804" t="str">
            <v>X</v>
          </cell>
        </row>
        <row r="2805">
          <cell r="F2805" t="str">
            <v>Sewa alat  cutting machine</v>
          </cell>
          <cell r="G2805" t="str">
            <v>hari</v>
          </cell>
          <cell r="H2805" t="str">
            <v>X</v>
          </cell>
        </row>
        <row r="2806">
          <cell r="F2806" t="str">
            <v>Sewa alat cutting machine</v>
          </cell>
          <cell r="G2806" t="str">
            <v>hari</v>
          </cell>
          <cell r="H2806" t="str">
            <v>X</v>
          </cell>
        </row>
        <row r="2807">
          <cell r="F2807" t="str">
            <v>Sewa alat las</v>
          </cell>
          <cell r="G2807" t="str">
            <v>hari</v>
          </cell>
          <cell r="H2807">
            <v>552400</v>
          </cell>
        </row>
        <row r="2808">
          <cell r="F2808" t="str">
            <v>Sewa bekisting</v>
          </cell>
          <cell r="G2808" t="str">
            <v>hari</v>
          </cell>
          <cell r="H2808" t="str">
            <v>X</v>
          </cell>
        </row>
        <row r="2809">
          <cell r="F2809" t="str">
            <v>Sewa bekisting rigid</v>
          </cell>
          <cell r="G2809" t="str">
            <v>hari</v>
          </cell>
          <cell r="H2809" t="str">
            <v>X</v>
          </cell>
        </row>
        <row r="2810">
          <cell r="F2810" t="str">
            <v>Sewa bor horisontal</v>
          </cell>
          <cell r="G2810" t="str">
            <v>hari</v>
          </cell>
          <cell r="H2810" t="str">
            <v>X</v>
          </cell>
        </row>
        <row r="2811">
          <cell r="F2811" t="str">
            <v>Sewa bor horisontal</v>
          </cell>
          <cell r="G2811" t="str">
            <v>hari</v>
          </cell>
          <cell r="H2811" t="str">
            <v>X</v>
          </cell>
        </row>
        <row r="2812">
          <cell r="F2812" t="str">
            <v>Sewa casing pipa baja dia. 30 cm</v>
          </cell>
          <cell r="G2812" t="str">
            <v>m</v>
          </cell>
          <cell r="H2812">
            <v>30700</v>
          </cell>
        </row>
        <row r="2813">
          <cell r="F2813" t="str">
            <v>Sewa casing pipa baja dia. 40 cm</v>
          </cell>
          <cell r="G2813" t="str">
            <v>m</v>
          </cell>
          <cell r="H2813">
            <v>43500</v>
          </cell>
        </row>
        <row r="2814">
          <cell r="F2814" t="str">
            <v>Sewa casing pipa baja dia. 50 cm</v>
          </cell>
          <cell r="G2814" t="str">
            <v>m</v>
          </cell>
          <cell r="H2814">
            <v>55800</v>
          </cell>
        </row>
        <row r="2815">
          <cell r="F2815" t="str">
            <v>Sewa casing PVC dia. 20 cm</v>
          </cell>
          <cell r="G2815" t="str">
            <v>m</v>
          </cell>
          <cell r="H2815">
            <v>25000</v>
          </cell>
        </row>
        <row r="2816">
          <cell r="F2816" t="str">
            <v xml:space="preserve">Sewa Crane kapasitas 1 ton </v>
          </cell>
          <cell r="G2816" t="str">
            <v xml:space="preserve">jam </v>
          </cell>
          <cell r="H2816">
            <v>157200</v>
          </cell>
        </row>
        <row r="2817">
          <cell r="F2817" t="str">
            <v xml:space="preserve">Sewa Genset </v>
          </cell>
          <cell r="G2817" t="str">
            <v xml:space="preserve">hari </v>
          </cell>
          <cell r="H2817">
            <v>1009400</v>
          </cell>
        </row>
        <row r="2818">
          <cell r="F2818" t="str">
            <v xml:space="preserve">Sewa Gondola </v>
          </cell>
          <cell r="G2818" t="str">
            <v>hari</v>
          </cell>
          <cell r="H2818" t="str">
            <v>X</v>
          </cell>
        </row>
        <row r="2819">
          <cell r="F2819" t="str">
            <v xml:space="preserve">Sewa Mesin Hydroseeding 2000L </v>
          </cell>
          <cell r="G2819" t="str">
            <v xml:space="preserve">liter </v>
          </cell>
          <cell r="H2819">
            <v>350000</v>
          </cell>
        </row>
        <row r="2820">
          <cell r="F2820" t="str">
            <v>Sewa mobil crane</v>
          </cell>
          <cell r="G2820" t="str">
            <v>hari</v>
          </cell>
          <cell r="H2820">
            <v>2299000</v>
          </cell>
        </row>
        <row r="2821">
          <cell r="F2821" t="str">
            <v>Sewa mobil crane kapasitas  15 Ton</v>
          </cell>
          <cell r="G2821" t="str">
            <v>hari</v>
          </cell>
          <cell r="H2821" t="str">
            <v>X</v>
          </cell>
        </row>
        <row r="2822">
          <cell r="F2822" t="str">
            <v>Sewa mobil crane kapasitas  25 Ton</v>
          </cell>
          <cell r="G2822" t="str">
            <v>hari</v>
          </cell>
          <cell r="H2822" t="str">
            <v>X</v>
          </cell>
        </row>
        <row r="2823">
          <cell r="F2823" t="str">
            <v>Sewa mobil crane kapasitas  5 Ton</v>
          </cell>
          <cell r="G2823" t="str">
            <v>hari</v>
          </cell>
          <cell r="H2823" t="str">
            <v>X</v>
          </cell>
        </row>
        <row r="2824">
          <cell r="F2824" t="str">
            <v>Sewa Pipe Support</v>
          </cell>
          <cell r="G2824" t="str">
            <v xml:space="preserve">hari </v>
          </cell>
          <cell r="H2824">
            <v>1500</v>
          </cell>
        </row>
        <row r="2825">
          <cell r="F2825" t="str">
            <v>Sewa Scaffolding</v>
          </cell>
          <cell r="G2825" t="str">
            <v>hari</v>
          </cell>
          <cell r="H2825" t="str">
            <v>X</v>
          </cell>
        </row>
        <row r="2826">
          <cell r="F2826" t="str">
            <v>- Scaffolding Pipe brancing 6 m</v>
          </cell>
          <cell r="G2826" t="str">
            <v>buah hari</v>
          </cell>
          <cell r="H2826">
            <v>16700</v>
          </cell>
        </row>
        <row r="2827">
          <cell r="F2827" t="str">
            <v>- ScaffoldingPipe brancing 3 m</v>
          </cell>
          <cell r="G2827" t="str">
            <v>buah hari</v>
          </cell>
          <cell r="H2827" t="str">
            <v>X</v>
          </cell>
        </row>
        <row r="2828">
          <cell r="F2828" t="str">
            <v>Sewa tangga 7 meter</v>
          </cell>
          <cell r="G2828" t="str">
            <v>buah</v>
          </cell>
          <cell r="H2828" t="str">
            <v>X</v>
          </cell>
        </row>
        <row r="2829">
          <cell r="F2829" t="str">
            <v>Sewa tangga 7 meter</v>
          </cell>
          <cell r="G2829" t="str">
            <v>hari</v>
          </cell>
          <cell r="H2829" t="str">
            <v>X</v>
          </cell>
        </row>
        <row r="2830">
          <cell r="F2830" t="str">
            <v>Sewa Tripot</v>
          </cell>
          <cell r="G2830" t="str">
            <v xml:space="preserve">hari </v>
          </cell>
          <cell r="H2830">
            <v>52300</v>
          </cell>
        </row>
        <row r="2831">
          <cell r="F2831" t="str">
            <v>SLO (Sertifikat  Laik Operasi)</v>
          </cell>
          <cell r="G2831" t="str">
            <v>VA</v>
          </cell>
          <cell r="H2831" t="str">
            <v>X</v>
          </cell>
        </row>
        <row r="2832">
          <cell r="F2832" t="str">
            <v xml:space="preserve">Sprayer Gendong </v>
          </cell>
          <cell r="G2832" t="str">
            <v xml:space="preserve">Hari </v>
          </cell>
          <cell r="H2832">
            <v>350000</v>
          </cell>
        </row>
        <row r="2833">
          <cell r="F2833" t="str">
            <v>Stamper</v>
          </cell>
          <cell r="G2833" t="str">
            <v>jam</v>
          </cell>
          <cell r="H2833">
            <v>43514.285714285717</v>
          </cell>
        </row>
        <row r="2834">
          <cell r="F2834" t="str">
            <v xml:space="preserve">Stamper D-Drum </v>
          </cell>
          <cell r="G2834" t="str">
            <v xml:space="preserve">hari </v>
          </cell>
          <cell r="H2834">
            <v>720700</v>
          </cell>
        </row>
        <row r="2835">
          <cell r="F2835" t="str">
            <v xml:space="preserve">Stamper Kodok 150 kg </v>
          </cell>
          <cell r="G2835" t="str">
            <v xml:space="preserve">Hari </v>
          </cell>
          <cell r="H2835">
            <v>40500</v>
          </cell>
        </row>
        <row r="2836">
          <cell r="F2836" t="str">
            <v xml:space="preserve">Stamper Kuda </v>
          </cell>
          <cell r="G2836" t="str">
            <v xml:space="preserve">hari </v>
          </cell>
          <cell r="H2836">
            <v>249400</v>
          </cell>
        </row>
        <row r="2837">
          <cell r="F2837" t="str">
            <v>Stamper Smooth_Drum</v>
          </cell>
          <cell r="G2837" t="str">
            <v xml:space="preserve">hari </v>
          </cell>
          <cell r="H2837">
            <v>1247000</v>
          </cell>
        </row>
        <row r="2838">
          <cell r="F2838" t="str">
            <v>Stang bor, batang bor dia. 1-1/4"</v>
          </cell>
          <cell r="G2838" t="str">
            <v>hari</v>
          </cell>
          <cell r="H2838">
            <v>401000</v>
          </cell>
        </row>
        <row r="2839">
          <cell r="F2839" t="str">
            <v>Stemper/ Compactor</v>
          </cell>
          <cell r="G2839" t="str">
            <v>Jam</v>
          </cell>
          <cell r="H2839" t="str">
            <v>X</v>
          </cell>
        </row>
        <row r="2840">
          <cell r="F2840" t="str">
            <v>Stone crusher</v>
          </cell>
          <cell r="G2840" t="str">
            <v>jam</v>
          </cell>
          <cell r="H2840">
            <v>1091400</v>
          </cell>
        </row>
        <row r="2841">
          <cell r="F2841" t="str">
            <v>Tandem roller 6-8 ton</v>
          </cell>
          <cell r="G2841" t="str">
            <v>jam</v>
          </cell>
          <cell r="H2841">
            <v>237300</v>
          </cell>
        </row>
        <row r="2842">
          <cell r="F2842" t="str">
            <v xml:space="preserve">Tandon Air kap. 2 m3 </v>
          </cell>
          <cell r="G2842" t="str">
            <v xml:space="preserve">hari </v>
          </cell>
          <cell r="H2842">
            <v>25000</v>
          </cell>
        </row>
        <row r="2843">
          <cell r="F2843" t="str">
            <v xml:space="preserve">Tangga Service </v>
          </cell>
          <cell r="G2843" t="str">
            <v xml:space="preserve">buah </v>
          </cell>
          <cell r="H2843" t="str">
            <v>X</v>
          </cell>
        </row>
        <row r="2844">
          <cell r="F2844" t="str">
            <v>Theodolit</v>
          </cell>
          <cell r="G2844" t="str">
            <v>hari</v>
          </cell>
          <cell r="H2844">
            <v>120600</v>
          </cell>
        </row>
        <row r="2845">
          <cell r="F2845" t="str">
            <v>Three wheel roller</v>
          </cell>
          <cell r="G2845" t="str">
            <v>jam</v>
          </cell>
          <cell r="H2845">
            <v>364900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7588F-4489-094D-9552-2287E4CF2F40}">
  <dimension ref="A1:H25"/>
  <sheetViews>
    <sheetView tabSelected="1" workbookViewId="0">
      <selection sqref="A1:F1"/>
    </sheetView>
  </sheetViews>
  <sheetFormatPr baseColWidth="10" defaultRowHeight="16" x14ac:dyDescent="0.2"/>
  <sheetData>
    <row r="1" spans="1:8" ht="17" thickBot="1" x14ac:dyDescent="0.25">
      <c r="A1" s="1"/>
      <c r="B1" s="2"/>
      <c r="C1" s="2"/>
      <c r="D1" s="3"/>
      <c r="E1" s="3"/>
      <c r="F1" s="3"/>
      <c r="G1" s="4"/>
      <c r="H1" s="5">
        <f>ROUNDDOWN(G24,-2)</f>
        <v>0</v>
      </c>
    </row>
    <row r="2" spans="1:8" ht="46" thickTop="1" x14ac:dyDescent="0.2">
      <c r="A2" s="6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8" t="s">
        <v>6</v>
      </c>
      <c r="H2" s="9"/>
    </row>
    <row r="3" spans="1:8" ht="30" x14ac:dyDescent="0.2">
      <c r="A3" s="10" t="s">
        <v>7</v>
      </c>
      <c r="B3" s="11" t="s">
        <v>8</v>
      </c>
      <c r="C3" s="11"/>
      <c r="D3" s="12"/>
      <c r="E3" s="13"/>
      <c r="F3" s="13"/>
      <c r="G3" s="14"/>
      <c r="H3" s="15"/>
    </row>
    <row r="4" spans="1:8" x14ac:dyDescent="0.2">
      <c r="A4" s="16"/>
      <c r="B4" s="12"/>
      <c r="C4" s="12"/>
      <c r="D4" s="17"/>
      <c r="E4" s="18"/>
      <c r="F4" s="19"/>
      <c r="G4" s="20"/>
      <c r="H4" s="15"/>
    </row>
    <row r="5" spans="1:8" x14ac:dyDescent="0.2">
      <c r="A5" s="16"/>
      <c r="B5" s="11"/>
      <c r="C5" s="11"/>
      <c r="D5" s="17"/>
      <c r="E5" s="18"/>
      <c r="F5" s="19"/>
      <c r="G5" s="20"/>
      <c r="H5" s="15"/>
    </row>
    <row r="6" spans="1:8" x14ac:dyDescent="0.2">
      <c r="A6" s="16"/>
      <c r="B6" s="12"/>
      <c r="C6" s="11"/>
      <c r="D6" s="17"/>
      <c r="E6" s="18"/>
      <c r="F6" s="19"/>
      <c r="G6" s="20"/>
      <c r="H6" s="15"/>
    </row>
    <row r="7" spans="1:8" x14ac:dyDescent="0.2">
      <c r="A7" s="16"/>
      <c r="B7" s="11"/>
      <c r="C7" s="11"/>
      <c r="D7" s="17"/>
      <c r="E7" s="18"/>
      <c r="F7" s="19"/>
      <c r="G7" s="20"/>
      <c r="H7" s="15"/>
    </row>
    <row r="8" spans="1:8" x14ac:dyDescent="0.2">
      <c r="A8" s="16"/>
      <c r="B8" s="12"/>
      <c r="C8" s="11"/>
      <c r="D8" s="17"/>
      <c r="E8" s="18"/>
      <c r="F8" s="19"/>
      <c r="G8" s="20"/>
      <c r="H8" s="15"/>
    </row>
    <row r="9" spans="1:8" x14ac:dyDescent="0.2">
      <c r="A9" s="21" t="s">
        <v>9</v>
      </c>
      <c r="B9" s="22"/>
      <c r="C9" s="22"/>
      <c r="D9" s="22"/>
      <c r="E9" s="22"/>
      <c r="F9" s="23"/>
      <c r="G9" s="24">
        <f>SUM(G4:G8)</f>
        <v>0</v>
      </c>
      <c r="H9" s="15"/>
    </row>
    <row r="10" spans="1:8" x14ac:dyDescent="0.2">
      <c r="A10" s="10" t="s">
        <v>10</v>
      </c>
      <c r="B10" s="11" t="s">
        <v>11</v>
      </c>
      <c r="C10" s="11"/>
      <c r="D10" s="12"/>
      <c r="E10" s="25"/>
      <c r="F10" s="26"/>
      <c r="G10" s="14"/>
      <c r="H10" s="15"/>
    </row>
    <row r="11" spans="1:8" x14ac:dyDescent="0.2">
      <c r="A11" s="27"/>
      <c r="B11" s="28"/>
      <c r="C11" s="12"/>
      <c r="D11" s="29"/>
      <c r="E11" s="30"/>
      <c r="F11" s="19"/>
      <c r="G11" s="20"/>
      <c r="H11" s="15"/>
    </row>
    <row r="12" spans="1:8" x14ac:dyDescent="0.2">
      <c r="A12" s="27"/>
      <c r="B12" s="12"/>
      <c r="C12" s="12"/>
      <c r="D12" s="29"/>
      <c r="E12" s="30"/>
      <c r="F12" s="19"/>
      <c r="G12" s="20"/>
      <c r="H12" s="15"/>
    </row>
    <row r="13" spans="1:8" x14ac:dyDescent="0.2">
      <c r="A13" s="27"/>
      <c r="B13" s="12"/>
      <c r="C13" s="12"/>
      <c r="D13" s="17"/>
      <c r="E13" s="30"/>
      <c r="F13" s="19"/>
      <c r="G13" s="20"/>
      <c r="H13" s="15"/>
    </row>
    <row r="14" spans="1:8" x14ac:dyDescent="0.2">
      <c r="A14" s="27"/>
      <c r="B14" s="12"/>
      <c r="C14" s="12"/>
      <c r="D14" s="17"/>
      <c r="E14" s="18"/>
      <c r="F14" s="19"/>
      <c r="G14" s="20"/>
      <c r="H14" s="15"/>
    </row>
    <row r="15" spans="1:8" x14ac:dyDescent="0.2">
      <c r="A15" s="27"/>
      <c r="B15" s="12"/>
      <c r="C15" s="12"/>
      <c r="D15" s="29"/>
      <c r="E15" s="18"/>
      <c r="F15" s="19"/>
      <c r="G15" s="20"/>
      <c r="H15" s="15"/>
    </row>
    <row r="16" spans="1:8" x14ac:dyDescent="0.2">
      <c r="A16" s="27"/>
      <c r="B16" s="11"/>
      <c r="C16" s="11"/>
      <c r="D16" s="29"/>
      <c r="E16" s="18"/>
      <c r="F16" s="19"/>
      <c r="G16" s="20"/>
      <c r="H16" s="15"/>
    </row>
    <row r="17" spans="1:8" x14ac:dyDescent="0.2">
      <c r="A17" s="27"/>
      <c r="B17" s="12"/>
      <c r="C17" s="12"/>
      <c r="D17" s="17"/>
      <c r="E17" s="18"/>
      <c r="F17" s="19"/>
      <c r="G17" s="20"/>
      <c r="H17" s="15"/>
    </row>
    <row r="18" spans="1:8" x14ac:dyDescent="0.2">
      <c r="A18" s="27"/>
      <c r="B18" s="12"/>
      <c r="C18" s="12"/>
      <c r="D18" s="17"/>
      <c r="E18" s="18"/>
      <c r="F18" s="19"/>
      <c r="G18" s="20"/>
      <c r="H18" s="15"/>
    </row>
    <row r="19" spans="1:8" x14ac:dyDescent="0.2">
      <c r="A19" s="21" t="s">
        <v>12</v>
      </c>
      <c r="B19" s="22"/>
      <c r="C19" s="22"/>
      <c r="D19" s="22"/>
      <c r="E19" s="22"/>
      <c r="F19" s="23"/>
      <c r="G19" s="24">
        <f>SUM(G11:G18)</f>
        <v>0</v>
      </c>
      <c r="H19" s="15"/>
    </row>
    <row r="20" spans="1:8" ht="30" x14ac:dyDescent="0.2">
      <c r="A20" s="10" t="s">
        <v>13</v>
      </c>
      <c r="B20" s="11" t="s">
        <v>14</v>
      </c>
      <c r="C20" s="11"/>
      <c r="D20" s="12"/>
      <c r="E20" s="25"/>
      <c r="F20" s="26"/>
      <c r="G20" s="14"/>
      <c r="H20" s="15"/>
    </row>
    <row r="21" spans="1:8" x14ac:dyDescent="0.2">
      <c r="A21" s="21" t="s">
        <v>15</v>
      </c>
      <c r="B21" s="22"/>
      <c r="C21" s="22"/>
      <c r="D21" s="22"/>
      <c r="E21" s="22"/>
      <c r="F21" s="23"/>
      <c r="G21" s="31">
        <v>0</v>
      </c>
      <c r="H21" s="15"/>
    </row>
    <row r="22" spans="1:8" x14ac:dyDescent="0.2">
      <c r="A22" s="10" t="s">
        <v>16</v>
      </c>
      <c r="B22" s="32" t="s">
        <v>17</v>
      </c>
      <c r="C22" s="33"/>
      <c r="D22" s="33"/>
      <c r="E22" s="33"/>
      <c r="F22" s="34"/>
      <c r="G22" s="20">
        <f>G9+G19+G21</f>
        <v>0</v>
      </c>
      <c r="H22" s="15"/>
    </row>
    <row r="23" spans="1:8" x14ac:dyDescent="0.2">
      <c r="A23" s="10" t="s">
        <v>18</v>
      </c>
      <c r="B23" s="32" t="s">
        <v>19</v>
      </c>
      <c r="C23" s="33"/>
      <c r="D23" s="33"/>
      <c r="E23" s="35"/>
      <c r="F23" s="36">
        <f>$P$8</f>
        <v>0</v>
      </c>
      <c r="G23" s="20">
        <f>G22*F23</f>
        <v>0</v>
      </c>
      <c r="H23" s="15"/>
    </row>
    <row r="24" spans="1:8" ht="17" thickBot="1" x14ac:dyDescent="0.25">
      <c r="A24" s="37" t="s">
        <v>20</v>
      </c>
      <c r="B24" s="38" t="s">
        <v>21</v>
      </c>
      <c r="C24" s="39"/>
      <c r="D24" s="39"/>
      <c r="E24" s="39"/>
      <c r="F24" s="40"/>
      <c r="G24" s="41">
        <f>SUM(G22:G23)</f>
        <v>0</v>
      </c>
      <c r="H24" s="15"/>
    </row>
    <row r="25" spans="1:8" ht="17" thickTop="1" x14ac:dyDescent="0.2"/>
  </sheetData>
  <mergeCells count="3">
    <mergeCell ref="A9:F9"/>
    <mergeCell ref="A19:F19"/>
    <mergeCell ref="A21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2025-12-13T10:30:42Z</dcterms:created>
  <dcterms:modified xsi:type="dcterms:W3CDTF">2025-12-13T10:32:28Z</dcterms:modified>
</cp:coreProperties>
</file>